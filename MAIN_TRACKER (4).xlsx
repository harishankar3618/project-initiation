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krishna.t\Downloads\"/>
    </mc:Choice>
  </mc:AlternateContent>
  <xr:revisionPtr revIDLastSave="1051" documentId="13_ncr:1_{B2613993-A966-4C4B-810A-98ABEAABDE0D}" xr6:coauthVersionLast="47" xr6:coauthVersionMax="47" xr10:uidLastSave="{CCBD4CCE-EE4A-4FD8-99E9-7683A39FF66A}"/>
  <bookViews>
    <workbookView xWindow="-110" yWindow="-110" windowWidth="19420" windowHeight="10300" tabRatio="500" firstSheet="1" activeTab="1" xr2:uid="{00000000-000D-0000-FFFF-FFFF00000000}"/>
  </bookViews>
  <sheets>
    <sheet name="Dashboard" sheetId="1" r:id="rId1"/>
    <sheet name="Project Tracker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13" i="1" l="1"/>
  <c r="AB178" i="1"/>
  <c r="AB291" i="1"/>
  <c r="AB1076" i="1"/>
  <c r="AB1075" i="1"/>
  <c r="AB1074" i="1"/>
  <c r="AB1073" i="1"/>
  <c r="AB1072" i="1"/>
  <c r="AB1071" i="1"/>
  <c r="AB1070" i="1"/>
  <c r="AB1069" i="1"/>
  <c r="AB1068" i="1"/>
  <c r="AB1067" i="1"/>
  <c r="AB1066" i="1"/>
  <c r="AB1065" i="1"/>
  <c r="AB1064" i="1"/>
  <c r="AB1063" i="1"/>
  <c r="AB1062" i="1"/>
  <c r="AB1061" i="1"/>
  <c r="AB1060" i="1"/>
  <c r="AB1059" i="1"/>
  <c r="AB1058" i="1"/>
  <c r="AB1057" i="1"/>
  <c r="AB1056" i="1"/>
  <c r="AB1055" i="1"/>
  <c r="AB1054" i="1"/>
  <c r="AB1053" i="1"/>
  <c r="AB1052" i="1"/>
  <c r="AB1051" i="1"/>
  <c r="AB1050" i="1"/>
  <c r="AB1049" i="1"/>
  <c r="AB1048" i="1"/>
  <c r="AB1047" i="1"/>
  <c r="AB1046" i="1"/>
  <c r="AB1045" i="1"/>
  <c r="AB1044" i="1"/>
  <c r="AB1043" i="1"/>
  <c r="AB1042" i="1"/>
  <c r="AB1041" i="1"/>
  <c r="AB1040" i="1"/>
  <c r="AB1039" i="1"/>
  <c r="AB1038" i="1"/>
  <c r="AB1037" i="1"/>
  <c r="AB1036" i="1"/>
  <c r="AB1035" i="1"/>
  <c r="AB1034" i="1"/>
  <c r="AB1033" i="1"/>
  <c r="AB1032" i="1"/>
  <c r="AB1031" i="1"/>
  <c r="AB1030" i="1"/>
  <c r="AB1029" i="1"/>
  <c r="AB1028" i="1"/>
  <c r="AB1027" i="1"/>
  <c r="AB1026" i="1"/>
  <c r="AB1025" i="1"/>
  <c r="AB1024" i="1"/>
  <c r="AB1023" i="1"/>
  <c r="AB1022" i="1"/>
  <c r="AB1021" i="1"/>
  <c r="AB1020" i="1"/>
  <c r="AB1019" i="1"/>
  <c r="AB1018" i="1"/>
  <c r="AB1017" i="1"/>
  <c r="AB1016" i="1"/>
  <c r="AB1015" i="1"/>
  <c r="AB1014" i="1"/>
  <c r="AB1013" i="1"/>
  <c r="AB1012" i="1"/>
  <c r="AB1011" i="1"/>
  <c r="AB1010" i="1"/>
  <c r="AB1009" i="1"/>
  <c r="AB1008" i="1"/>
  <c r="AB1007" i="1"/>
  <c r="AB1006" i="1"/>
  <c r="AB1005" i="1"/>
  <c r="AB1004" i="1"/>
  <c r="AB1003" i="1"/>
  <c r="AB1002" i="1"/>
  <c r="AB1001" i="1"/>
  <c r="AB1000" i="1"/>
  <c r="AB999" i="1"/>
  <c r="AB998" i="1"/>
  <c r="AB997" i="1"/>
  <c r="AB996" i="1"/>
  <c r="AB995" i="1"/>
  <c r="AB994" i="1"/>
  <c r="AB993" i="1"/>
  <c r="AB992" i="1"/>
  <c r="AB991" i="1"/>
  <c r="AB990" i="1"/>
  <c r="AB989" i="1"/>
  <c r="AB988" i="1"/>
  <c r="AB987" i="1"/>
  <c r="AB986" i="1"/>
  <c r="AB985" i="1"/>
  <c r="AB984" i="1"/>
  <c r="AB983" i="1"/>
  <c r="AB982" i="1"/>
  <c r="AB981" i="1"/>
  <c r="AB980" i="1"/>
  <c r="AB979" i="1"/>
  <c r="AB978" i="1"/>
  <c r="AB977" i="1"/>
  <c r="AB976" i="1"/>
  <c r="AB975" i="1"/>
  <c r="AB974" i="1"/>
  <c r="AB973" i="1"/>
  <c r="AB972" i="1"/>
  <c r="AB971" i="1"/>
  <c r="AB970" i="1"/>
  <c r="AB969" i="1"/>
  <c r="AB968" i="1"/>
  <c r="AB967" i="1"/>
  <c r="AB966" i="1"/>
  <c r="AB965" i="1"/>
  <c r="AB964" i="1"/>
  <c r="AB963" i="1"/>
  <c r="AB962" i="1"/>
  <c r="AB961" i="1"/>
  <c r="AB960" i="1"/>
  <c r="AB959" i="1"/>
  <c r="AB958" i="1"/>
  <c r="AB957" i="1"/>
  <c r="AB956" i="1"/>
  <c r="AB955" i="1"/>
  <c r="AB954" i="1"/>
  <c r="AB953" i="1"/>
  <c r="AB952" i="1"/>
  <c r="AB951" i="1"/>
  <c r="AB950" i="1"/>
  <c r="AB949" i="1"/>
  <c r="AB948" i="1"/>
  <c r="AB947" i="1"/>
  <c r="AB946" i="1"/>
  <c r="AB945" i="1"/>
  <c r="AB944" i="1"/>
  <c r="AB943" i="1"/>
  <c r="AB942" i="1"/>
  <c r="AB941" i="1"/>
  <c r="AB940" i="1"/>
  <c r="AB939" i="1"/>
  <c r="AB938" i="1"/>
  <c r="AB937" i="1"/>
  <c r="AB936" i="1"/>
  <c r="AB935" i="1"/>
  <c r="AB934" i="1"/>
  <c r="AB933" i="1"/>
  <c r="AB932" i="1"/>
  <c r="AB931" i="1"/>
  <c r="AB930" i="1"/>
  <c r="AB929" i="1"/>
  <c r="AB928" i="1"/>
  <c r="AB927" i="1"/>
  <c r="AB926" i="1"/>
  <c r="AB925" i="1"/>
  <c r="AB924" i="1"/>
  <c r="AB923" i="1"/>
  <c r="AB922" i="1"/>
  <c r="AB921" i="1"/>
  <c r="AB920" i="1"/>
  <c r="AB919" i="1"/>
  <c r="AB918" i="1"/>
  <c r="AB917" i="1"/>
  <c r="AB916" i="1"/>
  <c r="AB915" i="1"/>
  <c r="AB914" i="1"/>
  <c r="AB913" i="1"/>
  <c r="AB912" i="1"/>
  <c r="AB911" i="1"/>
  <c r="AB910" i="1"/>
  <c r="AB909" i="1"/>
  <c r="AB908" i="1"/>
  <c r="AB907" i="1"/>
  <c r="AB906" i="1"/>
  <c r="AB905" i="1"/>
  <c r="AB904" i="1"/>
  <c r="AB903" i="1"/>
  <c r="AB902" i="1"/>
  <c r="AB901" i="1"/>
  <c r="AB900" i="1"/>
  <c r="AB899" i="1"/>
  <c r="AB898" i="1"/>
  <c r="AB897" i="1"/>
  <c r="AB896" i="1"/>
  <c r="AB895" i="1"/>
  <c r="AB894" i="1"/>
  <c r="AB893" i="1"/>
  <c r="AB892" i="1"/>
  <c r="AB891" i="1"/>
  <c r="AB890" i="1"/>
  <c r="AB889" i="1"/>
  <c r="AB888" i="1"/>
  <c r="AB887" i="1"/>
  <c r="AB886" i="1"/>
  <c r="AB885" i="1"/>
  <c r="AB884" i="1"/>
  <c r="AB883" i="1"/>
  <c r="AB882" i="1"/>
  <c r="AB881" i="1"/>
  <c r="AB880" i="1"/>
  <c r="AB879" i="1"/>
  <c r="AB878" i="1"/>
  <c r="AB877" i="1"/>
  <c r="AB876" i="1"/>
  <c r="AB875" i="1"/>
  <c r="AB874" i="1"/>
  <c r="AB873" i="1"/>
  <c r="AB872" i="1"/>
  <c r="AB871" i="1"/>
  <c r="AB870" i="1"/>
  <c r="AB869" i="1"/>
  <c r="AB868" i="1"/>
  <c r="AB867" i="1"/>
  <c r="AB866" i="1"/>
  <c r="AB865" i="1"/>
  <c r="AB864" i="1"/>
  <c r="AB863" i="1"/>
  <c r="AB862" i="1"/>
  <c r="AB861" i="1"/>
  <c r="AB860" i="1"/>
  <c r="AB859" i="1"/>
  <c r="AB858" i="1"/>
  <c r="AB857" i="1"/>
  <c r="AB856" i="1"/>
  <c r="AB855" i="1"/>
  <c r="AB854" i="1"/>
  <c r="AB853" i="1"/>
  <c r="AB852" i="1"/>
  <c r="AB851" i="1"/>
  <c r="AB850" i="1"/>
  <c r="AB849" i="1"/>
  <c r="AB848" i="1"/>
  <c r="AB847" i="1"/>
  <c r="AB846" i="1"/>
  <c r="AB845" i="1"/>
  <c r="AB844" i="1"/>
  <c r="AB843" i="1"/>
  <c r="AB842" i="1"/>
  <c r="AB841" i="1"/>
  <c r="AB840" i="1"/>
  <c r="AB839" i="1"/>
  <c r="AB838" i="1"/>
  <c r="AB837" i="1"/>
  <c r="AB836" i="1"/>
  <c r="AB835" i="1"/>
  <c r="AB834" i="1"/>
  <c r="AB833" i="1"/>
  <c r="AB832" i="1"/>
  <c r="AB831" i="1"/>
  <c r="AB830" i="1"/>
  <c r="AB829" i="1"/>
  <c r="AB828" i="1"/>
  <c r="AB827" i="1"/>
  <c r="AB826" i="1"/>
  <c r="AB825" i="1"/>
  <c r="AB824" i="1"/>
  <c r="AB823" i="1"/>
  <c r="AB822" i="1"/>
  <c r="AB821" i="1"/>
  <c r="AB820" i="1"/>
  <c r="AB819" i="1"/>
  <c r="AB818" i="1"/>
  <c r="AB817" i="1"/>
  <c r="AB816" i="1"/>
  <c r="AB815" i="1"/>
  <c r="AB814" i="1"/>
  <c r="AB813" i="1"/>
  <c r="AB812" i="1"/>
  <c r="AB811" i="1"/>
  <c r="AB810" i="1"/>
  <c r="AB809" i="1"/>
  <c r="AB808" i="1"/>
  <c r="AB807" i="1"/>
  <c r="AB806" i="1"/>
  <c r="AB805" i="1"/>
  <c r="AB804" i="1"/>
  <c r="AB803" i="1"/>
  <c r="AB802" i="1"/>
  <c r="AB801" i="1"/>
  <c r="AB800" i="1"/>
  <c r="AB799" i="1"/>
  <c r="AB798" i="1"/>
  <c r="AB797" i="1"/>
  <c r="AB796" i="1"/>
  <c r="AB795" i="1"/>
  <c r="AB794" i="1"/>
  <c r="AB793" i="1"/>
  <c r="AB792" i="1"/>
  <c r="AB791" i="1"/>
  <c r="AB790" i="1"/>
  <c r="AB789" i="1"/>
  <c r="AB788" i="1"/>
  <c r="AB787" i="1"/>
  <c r="AB786" i="1"/>
  <c r="AB785" i="1"/>
  <c r="AB784" i="1"/>
  <c r="AB783" i="1"/>
  <c r="AB782" i="1"/>
  <c r="AB781" i="1"/>
  <c r="AB780" i="1"/>
  <c r="AB779" i="1"/>
  <c r="AB778" i="1"/>
  <c r="AB777" i="1"/>
  <c r="AB776" i="1"/>
  <c r="AB775" i="1"/>
  <c r="AB774" i="1"/>
  <c r="AB773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20" i="1"/>
  <c r="AB719" i="1"/>
  <c r="AB718" i="1"/>
  <c r="AB717" i="1"/>
  <c r="AB716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4" i="1"/>
  <c r="AB293" i="1"/>
  <c r="AB292" i="1"/>
  <c r="AB290" i="1"/>
  <c r="AB289" i="1"/>
  <c r="AB287" i="1"/>
  <c r="AB286" i="1"/>
  <c r="AB285" i="1"/>
  <c r="AB284" i="1"/>
  <c r="AB283" i="1"/>
  <c r="AB282" i="1"/>
  <c r="AB281" i="1"/>
  <c r="AB280" i="1"/>
  <c r="AB279" i="1"/>
  <c r="AB277" i="1"/>
  <c r="AB275" i="1"/>
  <c r="AB273" i="1"/>
  <c r="AB269" i="1"/>
  <c r="AB268" i="1"/>
  <c r="AB267" i="1"/>
  <c r="AB266" i="1"/>
  <c r="AB264" i="1"/>
  <c r="AB263" i="1"/>
  <c r="AB258" i="1"/>
  <c r="AB256" i="1"/>
  <c r="AB253" i="1"/>
  <c r="AB252" i="1"/>
  <c r="AB251" i="1"/>
  <c r="AB249" i="1"/>
  <c r="AB248" i="1"/>
  <c r="AB246" i="1"/>
  <c r="AB245" i="1"/>
  <c r="AB242" i="1"/>
  <c r="AB240" i="1"/>
  <c r="AB239" i="1"/>
  <c r="AB237" i="1"/>
  <c r="AB236" i="1"/>
  <c r="AB235" i="1"/>
  <c r="AB234" i="1"/>
  <c r="AB233" i="1"/>
  <c r="AB232" i="1"/>
  <c r="AB230" i="1"/>
  <c r="AB229" i="1"/>
  <c r="AB228" i="1"/>
  <c r="AB227" i="1"/>
  <c r="AB226" i="1"/>
  <c r="AB225" i="1"/>
  <c r="AB224" i="1"/>
  <c r="AB222" i="1"/>
  <c r="AB221" i="1"/>
  <c r="AB220" i="1"/>
  <c r="AB219" i="1"/>
  <c r="AB218" i="1"/>
  <c r="AB217" i="1"/>
  <c r="AB215" i="1"/>
  <c r="AB214" i="1"/>
  <c r="AB213" i="1"/>
  <c r="AB212" i="1"/>
  <c r="AB211" i="1"/>
  <c r="AB210" i="1"/>
  <c r="AB209" i="1"/>
  <c r="AB204" i="1"/>
  <c r="AB202" i="1"/>
  <c r="AB200" i="1"/>
  <c r="AB198" i="1"/>
  <c r="AB197" i="1"/>
  <c r="AB195" i="1"/>
  <c r="AB192" i="1"/>
  <c r="AB190" i="1"/>
  <c r="AB188" i="1"/>
  <c r="AB184" i="1"/>
  <c r="AB183" i="1"/>
  <c r="AB182" i="1"/>
  <c r="AB181" i="1"/>
  <c r="AB177" i="1"/>
  <c r="AB176" i="1"/>
  <c r="AB175" i="1"/>
  <c r="AB174" i="1"/>
  <c r="AB173" i="1"/>
  <c r="AB172" i="1"/>
  <c r="AB171" i="1"/>
  <c r="AB170" i="1"/>
  <c r="AB169" i="1"/>
  <c r="AB167" i="1"/>
  <c r="AB166" i="1"/>
  <c r="AB165" i="1"/>
  <c r="AB162" i="1"/>
  <c r="AB161" i="1"/>
  <c r="AB157" i="1"/>
  <c r="AB153" i="1"/>
  <c r="AB151" i="1"/>
  <c r="AB150" i="1"/>
  <c r="AB148" i="1"/>
  <c r="AB147" i="1"/>
  <c r="AB146" i="1"/>
  <c r="AB143" i="1"/>
  <c r="AB141" i="1"/>
  <c r="AB140" i="1"/>
  <c r="AB139" i="1"/>
  <c r="AB138" i="1"/>
  <c r="AB136" i="1"/>
  <c r="AB135" i="1"/>
  <c r="AB134" i="1"/>
  <c r="AB133" i="1"/>
  <c r="AB131" i="1"/>
  <c r="AB129" i="1"/>
  <c r="AB128" i="1"/>
  <c r="AB127" i="1"/>
  <c r="AB126" i="1"/>
  <c r="AB125" i="1"/>
  <c r="AB124" i="1"/>
  <c r="AB123" i="1"/>
  <c r="AB122" i="1"/>
  <c r="AB121" i="1"/>
  <c r="AB119" i="1"/>
  <c r="AB118" i="1"/>
  <c r="AB117" i="1"/>
  <c r="AB116" i="1"/>
  <c r="AB115" i="1"/>
  <c r="AB114" i="1"/>
  <c r="AB113" i="1"/>
  <c r="AB110" i="1"/>
  <c r="AB107" i="1"/>
  <c r="AB106" i="1"/>
  <c r="AB105" i="1"/>
  <c r="AB104" i="1"/>
  <c r="AB103" i="1"/>
  <c r="AB101" i="1"/>
  <c r="AB99" i="1"/>
  <c r="AB98" i="1"/>
  <c r="AB97" i="1"/>
  <c r="AB96" i="1"/>
  <c r="AB95" i="1"/>
  <c r="AB91" i="1"/>
  <c r="AB90" i="1"/>
  <c r="AB88" i="1"/>
  <c r="AB87" i="1"/>
  <c r="AB81" i="1"/>
  <c r="AB80" i="1"/>
  <c r="AB76" i="1"/>
  <c r="AB74" i="1"/>
  <c r="AB73" i="1"/>
  <c r="AB72" i="1"/>
  <c r="AB71" i="1"/>
  <c r="AB69" i="1"/>
  <c r="AB66" i="1"/>
  <c r="AB63" i="1"/>
  <c r="AB60" i="1"/>
  <c r="AB57" i="1"/>
  <c r="AB56" i="1"/>
  <c r="AB55" i="1"/>
  <c r="AB53" i="1"/>
  <c r="AB52" i="1"/>
  <c r="AB51" i="1"/>
  <c r="AB50" i="1"/>
  <c r="AB49" i="1"/>
  <c r="AB48" i="1"/>
  <c r="AB47" i="1"/>
  <c r="AB46" i="1"/>
  <c r="AB44" i="1"/>
  <c r="AB43" i="1"/>
  <c r="AB41" i="1"/>
  <c r="AB40" i="1"/>
  <c r="AB39" i="1"/>
  <c r="AB37" i="1"/>
  <c r="AB36" i="1"/>
  <c r="AB35" i="1"/>
  <c r="AB33" i="1"/>
  <c r="AB32" i="1"/>
  <c r="AB30" i="1"/>
  <c r="AB28" i="1"/>
  <c r="AB27" i="1"/>
  <c r="AB24" i="1"/>
  <c r="AB23" i="1"/>
  <c r="AB22" i="1"/>
  <c r="AB21" i="1"/>
  <c r="AB19" i="1"/>
  <c r="AB17" i="1"/>
  <c r="AB16" i="1"/>
  <c r="AB14" i="1"/>
  <c r="AB12" i="1"/>
  <c r="AB11" i="1"/>
  <c r="N7" i="1"/>
  <c r="K7" i="1"/>
  <c r="H7" i="1"/>
  <c r="E7" i="1"/>
  <c r="B7" i="1"/>
  <c r="AB2" i="1"/>
  <c r="AB4" i="1" l="1"/>
  <c r="AB3" i="1"/>
  <c r="AB5" i="1" l="1"/>
  <c r="B16" i="1" l="1"/>
  <c r="F16" i="1" s="1"/>
  <c r="AB6" i="1"/>
  <c r="AB7" i="1" l="1"/>
  <c r="E16" i="1"/>
  <c r="D16" i="1"/>
  <c r="C16" i="1"/>
  <c r="B15" i="1"/>
  <c r="B17" i="1" l="1"/>
  <c r="C17" i="1"/>
  <c r="D17" i="1"/>
  <c r="G16" i="1"/>
  <c r="AB8" i="1"/>
  <c r="E17" i="1"/>
  <c r="F17" i="1"/>
  <c r="E15" i="1"/>
  <c r="F15" i="1"/>
  <c r="C15" i="1"/>
  <c r="D15" i="1"/>
  <c r="G17" i="1" l="1"/>
  <c r="G15" i="1"/>
  <c r="B18" i="1"/>
  <c r="AB9" i="1"/>
  <c r="AB10" i="1" s="1"/>
  <c r="AB15" i="1" s="1"/>
  <c r="D18" i="1" l="1"/>
  <c r="F18" i="1"/>
  <c r="E18" i="1"/>
  <c r="C18" i="1"/>
  <c r="AB18" i="1"/>
  <c r="B19" i="1"/>
  <c r="AB20" i="1" l="1"/>
  <c r="AB25" i="1"/>
  <c r="G18" i="1"/>
  <c r="C19" i="1"/>
  <c r="F19" i="1"/>
  <c r="E19" i="1"/>
  <c r="D19" i="1"/>
  <c r="B20" i="1"/>
  <c r="AB26" i="1" l="1"/>
  <c r="B21" i="1"/>
  <c r="D21" i="1" s="1"/>
  <c r="G19" i="1"/>
  <c r="B22" i="1"/>
  <c r="D20" i="1"/>
  <c r="F20" i="1"/>
  <c r="C20" i="1"/>
  <c r="E20" i="1"/>
  <c r="AB29" i="1"/>
  <c r="C21" i="1" l="1"/>
  <c r="F21" i="1"/>
  <c r="E21" i="1"/>
  <c r="G20" i="1"/>
  <c r="B23" i="1"/>
  <c r="C22" i="1"/>
  <c r="F22" i="1"/>
  <c r="D22" i="1"/>
  <c r="E22" i="1"/>
  <c r="AB31" i="1"/>
  <c r="G21" i="1" l="1"/>
  <c r="AB34" i="1"/>
  <c r="G22" i="1"/>
  <c r="B24" i="1"/>
  <c r="D24" i="1" s="1"/>
  <c r="F23" i="1"/>
  <c r="C23" i="1"/>
  <c r="D23" i="1"/>
  <c r="E23" i="1"/>
  <c r="C24" i="1" l="1"/>
  <c r="AB38" i="1"/>
  <c r="B25" i="1"/>
  <c r="D25" i="1" s="1"/>
  <c r="E24" i="1"/>
  <c r="F24" i="1"/>
  <c r="G23" i="1"/>
  <c r="AB42" i="1" l="1"/>
  <c r="AB45" i="1"/>
  <c r="F25" i="1"/>
  <c r="E25" i="1"/>
  <c r="C25" i="1"/>
  <c r="B26" i="1"/>
  <c r="D26" i="1" s="1"/>
  <c r="G24" i="1"/>
  <c r="AB54" i="1" l="1"/>
  <c r="B27" i="1"/>
  <c r="F26" i="1"/>
  <c r="C26" i="1"/>
  <c r="E26" i="1"/>
  <c r="G25" i="1"/>
  <c r="D27" i="1" l="1"/>
  <c r="E27" i="1"/>
  <c r="F27" i="1"/>
  <c r="C27" i="1"/>
  <c r="AB58" i="1"/>
  <c r="G26" i="1"/>
  <c r="AB59" i="1" l="1"/>
  <c r="AB61" i="1"/>
  <c r="B28" i="1"/>
  <c r="E28" i="1"/>
  <c r="C28" i="1"/>
  <c r="AB62" i="1"/>
  <c r="B29" i="1"/>
  <c r="AB64" i="1"/>
  <c r="G27" i="1"/>
  <c r="F28" i="1" l="1"/>
  <c r="D28" i="1"/>
  <c r="G28" i="1" s="1"/>
  <c r="F29" i="1"/>
  <c r="C29" i="1"/>
  <c r="E29" i="1"/>
  <c r="D29" i="1"/>
  <c r="B30" i="1"/>
  <c r="AB65" i="1"/>
  <c r="B31" i="1" l="1"/>
  <c r="AB67" i="1"/>
  <c r="D30" i="1"/>
  <c r="F30" i="1"/>
  <c r="C30" i="1"/>
  <c r="E30" i="1"/>
  <c r="E31" i="1"/>
  <c r="C31" i="1"/>
  <c r="D31" i="1"/>
  <c r="F31" i="1"/>
  <c r="G29" i="1"/>
  <c r="G30" i="1" l="1"/>
  <c r="G31" i="1"/>
  <c r="AB68" i="1"/>
  <c r="B32" i="1" l="1"/>
  <c r="C32" i="1"/>
  <c r="E32" i="1"/>
  <c r="F32" i="1"/>
  <c r="D32" i="1"/>
  <c r="AB70" i="1"/>
  <c r="G32" i="1"/>
  <c r="B33" i="1" l="1"/>
  <c r="D33" i="1"/>
  <c r="C33" i="1"/>
  <c r="E33" i="1"/>
  <c r="F33" i="1"/>
  <c r="AB75" i="1"/>
  <c r="AB160" i="1"/>
  <c r="AB255" i="1"/>
  <c r="AB257" i="1" s="1"/>
  <c r="AB259" i="1"/>
  <c r="G33" i="1" l="1"/>
  <c r="AB77" i="1"/>
  <c r="B34" i="1" l="1"/>
  <c r="C34" i="1"/>
  <c r="F34" i="1"/>
  <c r="D34" i="1"/>
  <c r="E34" i="1"/>
  <c r="G34" i="1"/>
  <c r="AB78" i="1"/>
  <c r="AB179" i="1"/>
  <c r="B35" i="1" l="1"/>
  <c r="E35" i="1"/>
  <c r="F35" i="1"/>
  <c r="D35" i="1"/>
  <c r="C35" i="1"/>
  <c r="G35" i="1"/>
  <c r="AB79" i="1"/>
  <c r="B36" i="1" l="1"/>
  <c r="C36" i="1"/>
  <c r="E36" i="1"/>
  <c r="F36" i="1"/>
  <c r="D36" i="1"/>
  <c r="G36" i="1"/>
  <c r="AB82" i="1"/>
  <c r="B37" i="1" l="1"/>
  <c r="F37" i="1"/>
  <c r="D37" i="1"/>
  <c r="E37" i="1"/>
  <c r="C37" i="1"/>
  <c r="G37" i="1"/>
  <c r="AB83" i="1"/>
  <c r="AB84" i="1"/>
  <c r="AB85" i="1" l="1"/>
  <c r="B38" i="1"/>
  <c r="D38" i="1"/>
  <c r="F38" i="1"/>
  <c r="E38" i="1"/>
  <c r="C38" i="1"/>
  <c r="G38" i="1"/>
  <c r="AB86" i="1"/>
  <c r="B39" i="1" s="1"/>
  <c r="D39" i="1" l="1"/>
  <c r="C39" i="1"/>
  <c r="F39" i="1"/>
  <c r="E39" i="1"/>
  <c r="G39" i="1"/>
  <c r="AB89" i="1"/>
  <c r="AB92" i="1"/>
  <c r="B40" i="1" s="1"/>
  <c r="D40" i="1" l="1"/>
  <c r="C40" i="1"/>
  <c r="F40" i="1"/>
  <c r="E40" i="1"/>
  <c r="G40" i="1"/>
  <c r="AB93" i="1"/>
  <c r="AB94" i="1" l="1"/>
  <c r="B41" i="1" l="1"/>
  <c r="F41" i="1"/>
  <c r="D41" i="1"/>
  <c r="E41" i="1"/>
  <c r="C41" i="1"/>
  <c r="G41" i="1"/>
  <c r="AB100" i="1"/>
  <c r="AB102" i="1" l="1"/>
  <c r="B42" i="1" l="1"/>
  <c r="AB108" i="1"/>
  <c r="B43" i="1" l="1"/>
  <c r="E42" i="1"/>
  <c r="F42" i="1"/>
  <c r="C42" i="1"/>
  <c r="D42" i="1"/>
  <c r="G42" i="1"/>
  <c r="E43" i="1"/>
  <c r="C43" i="1"/>
  <c r="F43" i="1"/>
  <c r="D43" i="1"/>
  <c r="G43" i="1"/>
  <c r="AB109" i="1"/>
  <c r="AB111" i="1" l="1"/>
  <c r="AB112" i="1" l="1"/>
  <c r="B44" i="1" l="1"/>
  <c r="AB120" i="1"/>
  <c r="AB130" i="1"/>
  <c r="AB132" i="1"/>
  <c r="B47" i="1" l="1"/>
  <c r="B46" i="1"/>
  <c r="B45" i="1"/>
  <c r="F44" i="1"/>
  <c r="D44" i="1"/>
  <c r="E44" i="1"/>
  <c r="C44" i="1"/>
  <c r="G44" i="1"/>
  <c r="F45" i="1"/>
  <c r="E45" i="1"/>
  <c r="D45" i="1"/>
  <c r="C45" i="1"/>
  <c r="G45" i="1"/>
  <c r="AB137" i="1"/>
  <c r="F47" i="1"/>
  <c r="C47" i="1"/>
  <c r="E47" i="1"/>
  <c r="D47" i="1"/>
  <c r="G47" i="1"/>
  <c r="AB159" i="1"/>
  <c r="AB163" i="1"/>
  <c r="B48" i="1" l="1"/>
  <c r="C46" i="1"/>
  <c r="E46" i="1"/>
  <c r="D46" i="1"/>
  <c r="F46" i="1"/>
  <c r="G46" i="1"/>
  <c r="AB142" i="1"/>
  <c r="C48" i="1"/>
  <c r="D48" i="1"/>
  <c r="E48" i="1"/>
  <c r="F48" i="1"/>
  <c r="G48" i="1"/>
  <c r="AB164" i="1"/>
  <c r="AB144" i="1" l="1"/>
  <c r="AB149" i="1"/>
  <c r="B49" i="1" l="1"/>
  <c r="AB145" i="1"/>
  <c r="AB152" i="1"/>
  <c r="B50" i="1" s="1"/>
  <c r="D49" i="1" l="1"/>
  <c r="F49" i="1"/>
  <c r="C49" i="1"/>
  <c r="E49" i="1"/>
  <c r="G49" i="1"/>
  <c r="AB154" i="1"/>
  <c r="E50" i="1"/>
  <c r="C50" i="1"/>
  <c r="F50" i="1"/>
  <c r="D50" i="1"/>
  <c r="G50" i="1"/>
  <c r="AB185" i="1"/>
  <c r="AB189" i="1"/>
  <c r="AB155" i="1" l="1"/>
  <c r="AB156" i="1"/>
  <c r="AB158" i="1"/>
  <c r="B52" i="1" s="1"/>
  <c r="B51" i="1" l="1"/>
  <c r="AB168" i="1"/>
  <c r="B53" i="1"/>
  <c r="C52" i="1"/>
  <c r="F52" i="1"/>
  <c r="D52" i="1"/>
  <c r="E52" i="1"/>
  <c r="G52" i="1"/>
  <c r="AB187" i="1"/>
  <c r="D51" i="1" l="1"/>
  <c r="F51" i="1"/>
  <c r="C51" i="1"/>
  <c r="E51" i="1"/>
  <c r="G51" i="1"/>
  <c r="AB180" i="1"/>
  <c r="AB186" i="1"/>
  <c r="F53" i="1"/>
  <c r="C53" i="1"/>
  <c r="E53" i="1"/>
  <c r="D53" i="1"/>
  <c r="G53" i="1"/>
  <c r="AB191" i="1"/>
  <c r="AB193" i="1"/>
  <c r="B55" i="1" l="1"/>
  <c r="B54" i="1"/>
  <c r="B56" i="1"/>
  <c r="AB194" i="1"/>
  <c r="F54" i="1" l="1"/>
  <c r="D54" i="1"/>
  <c r="E54" i="1"/>
  <c r="C54" i="1"/>
  <c r="G54" i="1"/>
  <c r="E55" i="1"/>
  <c r="D55" i="1"/>
  <c r="F55" i="1"/>
  <c r="C55" i="1"/>
  <c r="G55" i="1"/>
  <c r="F56" i="1"/>
  <c r="E56" i="1"/>
  <c r="C56" i="1"/>
  <c r="D56" i="1"/>
  <c r="G56" i="1"/>
  <c r="AB196" i="1"/>
  <c r="AB205" i="1"/>
  <c r="AB206" i="1"/>
  <c r="AB199" i="1" l="1"/>
  <c r="AB207" i="1"/>
  <c r="AB201" i="1" l="1"/>
  <c r="AB203" i="1"/>
  <c r="AB216" i="1"/>
  <c r="AB231" i="1"/>
  <c r="AB261" i="1"/>
  <c r="AB270" i="1"/>
  <c r="AB208" i="1" l="1"/>
  <c r="AB223" i="1"/>
  <c r="AB260" i="1"/>
  <c r="AB238" i="1" l="1"/>
  <c r="AB262" i="1"/>
  <c r="AB241" i="1" l="1"/>
  <c r="AB244" i="1"/>
  <c r="AB265" i="1"/>
  <c r="AB243" i="1" l="1"/>
  <c r="AB247" i="1"/>
  <c r="AB271" i="1"/>
  <c r="AB250" i="1" l="1"/>
  <c r="AB272" i="1"/>
  <c r="AB254" i="1" l="1"/>
  <c r="AB274" i="1"/>
  <c r="AB276" i="1" s="1"/>
  <c r="AB278" i="1"/>
  <c r="AB288" i="1" l="1"/>
  <c r="B57" i="1" s="1"/>
  <c r="D57" i="1"/>
  <c r="C57" i="1"/>
  <c r="F57" i="1"/>
  <c r="E57" i="1"/>
  <c r="G57" i="1"/>
  <c r="AB295" i="1"/>
  <c r="B58" i="1"/>
  <c r="B60" i="1"/>
  <c r="B59" i="1"/>
  <c r="C58" i="1"/>
  <c r="F58" i="1"/>
  <c r="E58" i="1"/>
  <c r="D58" i="1"/>
  <c r="G58" i="1"/>
  <c r="F59" i="1"/>
  <c r="E59" i="1"/>
  <c r="D59" i="1"/>
  <c r="C59" i="1"/>
  <c r="G59" i="1"/>
  <c r="B62" i="1"/>
  <c r="B61" i="1"/>
  <c r="C60" i="1"/>
  <c r="E60" i="1"/>
  <c r="D60" i="1"/>
  <c r="F60" i="1"/>
  <c r="G60" i="1"/>
  <c r="D61" i="1"/>
  <c r="E61" i="1"/>
  <c r="C61" i="1"/>
  <c r="F61" i="1"/>
  <c r="G61" i="1"/>
  <c r="B64" i="1"/>
  <c r="B63" i="1"/>
  <c r="E62" i="1"/>
  <c r="D62" i="1"/>
  <c r="C62" i="1"/>
  <c r="F62" i="1"/>
  <c r="G62" i="1"/>
  <c r="C63" i="1"/>
  <c r="D63" i="1"/>
  <c r="F63" i="1"/>
  <c r="E63" i="1"/>
  <c r="G63" i="1"/>
  <c r="B66" i="1"/>
  <c r="B65" i="1"/>
  <c r="E64" i="1"/>
  <c r="F64" i="1"/>
  <c r="D64" i="1"/>
  <c r="C64" i="1"/>
  <c r="G64" i="1"/>
  <c r="C65" i="1"/>
  <c r="E65" i="1"/>
  <c r="F65" i="1"/>
  <c r="D65" i="1"/>
  <c r="G65" i="1"/>
  <c r="B68" i="1"/>
  <c r="B67" i="1"/>
  <c r="C66" i="1"/>
  <c r="D66" i="1"/>
  <c r="F66" i="1"/>
  <c r="E66" i="1"/>
  <c r="G66" i="1"/>
  <c r="D67" i="1"/>
  <c r="F67" i="1"/>
  <c r="C67" i="1"/>
  <c r="E67" i="1"/>
  <c r="G67" i="1"/>
  <c r="B70" i="1"/>
  <c r="B69" i="1"/>
  <c r="C68" i="1"/>
  <c r="E68" i="1"/>
  <c r="D68" i="1"/>
  <c r="F68" i="1"/>
  <c r="G68" i="1"/>
  <c r="E70" i="1"/>
  <c r="C70" i="1"/>
  <c r="F70" i="1"/>
  <c r="D70" i="1"/>
  <c r="G70" i="1"/>
  <c r="D69" i="1"/>
  <c r="F69" i="1"/>
  <c r="C69" i="1"/>
  <c r="E69" i="1"/>
  <c r="G69" i="1"/>
  <c r="B72" i="1"/>
  <c r="B71" i="1"/>
  <c r="E72" i="1"/>
  <c r="F72" i="1"/>
  <c r="C72" i="1"/>
  <c r="D72" i="1"/>
  <c r="G72" i="1" s="1"/>
  <c r="E71" i="1"/>
  <c r="C71" i="1"/>
  <c r="D71" i="1"/>
  <c r="F71" i="1"/>
  <c r="G71" i="1"/>
  <c r="B74" i="1"/>
  <c r="B73" i="1"/>
  <c r="D74" i="1"/>
  <c r="F74" i="1"/>
  <c r="E74" i="1"/>
  <c r="C74" i="1"/>
  <c r="G74" i="1" s="1"/>
  <c r="D73" i="1" l="1"/>
  <c r="E73" i="1"/>
  <c r="C73" i="1"/>
  <c r="F73" i="1"/>
  <c r="G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B1" authorId="0" shapeId="0" xr:uid="{00000000-0006-0000-0000-000001000000}">
      <text>
        <r>
          <rPr>
            <sz val="10"/>
            <rFont val="Arial"/>
            <family val="2"/>
          </rPr>
          <t>Helper column - do not delete. Assigns a running index to each first-seen auditor name in the Project Tracker sheet, used to build the auto-updating auditor list to the left.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" authorId="0" shapeId="0" xr:uid="{00000000-0006-0000-0100-000001000000}">
      <text>
        <r>
          <rPr>
            <sz val="10"/>
            <rFont val="Arial"/>
            <family val="2"/>
          </rPr>
          <t>SAMPLE DATA: Rows 2-13 are illustrative sample rows so you can see the Dashboard working immediately. Delete or overwrite them before real use.</t>
        </r>
      </text>
    </comment>
  </commentList>
</comments>
</file>

<file path=xl/sharedStrings.xml><?xml version="1.0" encoding="utf-8"?>
<sst xmlns="http://schemas.openxmlformats.org/spreadsheetml/2006/main" count="2404" uniqueCount="591">
  <si>
    <t>📊  Project Tracker — Management Dashboard</t>
  </si>
  <si>
    <t>Live view of all projects — updates automatically as rows are added, edited, or removed in the Project Tracker sheet.</t>
  </si>
  <si>
    <t>📁  TOTAL PROJECTS</t>
  </si>
  <si>
    <t>✔  COMPLETED</t>
  </si>
  <si>
    <t>⏳  IN PROGRESS</t>
  </si>
  <si>
    <t>⏸  ON HOLD</t>
  </si>
  <si>
    <t>○  NOT STARTED</t>
  </si>
  <si>
    <t>📋   Auditor-wise Project Summary</t>
  </si>
  <si>
    <t>The auditor list below is generated automatically from the Project Tracker sheet. Add, rename, or remove auditors there — this table (and the space reserved below it) updates on its own.</t>
  </si>
  <si>
    <t>👤 Auditor</t>
  </si>
  <si>
    <t>⚪ Not Started</t>
  </si>
  <si>
    <t>🔵 In Progress</t>
  </si>
  <si>
    <t>🟠 Hold</t>
  </si>
  <si>
    <t>🟢 Completed</t>
  </si>
  <si>
    <t>Σ Total Projects</t>
  </si>
  <si>
    <t>Space is reserved above for up to 60 auditors. To support more, extend the formulas in columns B:G down as needed.</t>
  </si>
  <si>
    <t>SR No.</t>
  </si>
  <si>
    <t>Client Name</t>
  </si>
  <si>
    <t>Type of Audit</t>
  </si>
  <si>
    <t>Auditor</t>
  </si>
  <si>
    <t>Cert-IN ID</t>
  </si>
  <si>
    <t>Doc ID No.</t>
  </si>
  <si>
    <t>Project Status</t>
  </si>
  <si>
    <t>Category</t>
  </si>
  <si>
    <t>Description</t>
  </si>
  <si>
    <t>BD</t>
  </si>
  <si>
    <t>Created Date</t>
  </si>
  <si>
    <t>Initial Gap Assessment Report Release Date</t>
  </si>
  <si>
    <t>Metadata of Initial Gap Assessment Report</t>
  </si>
  <si>
    <t>Closure Report Release Date</t>
  </si>
  <si>
    <t>Metadata of Closure Report</t>
  </si>
  <si>
    <t>Payment Confirmation</t>
  </si>
  <si>
    <t>Report Prepared By</t>
  </si>
  <si>
    <t>Report Reviewed By</t>
  </si>
  <si>
    <t>Remarks</t>
  </si>
  <si>
    <t>Astral</t>
  </si>
  <si>
    <t>Assessment</t>
  </si>
  <si>
    <t>Dimple</t>
  </si>
  <si>
    <t>Completed</t>
  </si>
  <si>
    <t>Enterprise</t>
  </si>
  <si>
    <t>Yes</t>
  </si>
  <si>
    <t>Adani Airport - NMIAL</t>
  </si>
  <si>
    <t>ISO 27001</t>
  </si>
  <si>
    <t>Gautam Patidar</t>
  </si>
  <si>
    <t>In Progress</t>
  </si>
  <si>
    <t>No</t>
  </si>
  <si>
    <t>Adani Airport - Mangalore</t>
  </si>
  <si>
    <t>Airport - TRV</t>
  </si>
  <si>
    <t>Airport - Ahm</t>
  </si>
  <si>
    <t>ETP Group - PCI SSS</t>
  </si>
  <si>
    <t>PCI SSS</t>
  </si>
  <si>
    <t>PCI DSS</t>
  </si>
  <si>
    <t>Vidal Health</t>
  </si>
  <si>
    <t>SOC 2</t>
  </si>
  <si>
    <t>Akash</t>
  </si>
  <si>
    <t>Adani Total Gas Limited and IOAGPL</t>
  </si>
  <si>
    <t>Gautam Patidar, Anushree Pillai</t>
  </si>
  <si>
    <t>Vigilhawk Labs</t>
  </si>
  <si>
    <t>ISO 9001</t>
  </si>
  <si>
    <t>Jayneel</t>
  </si>
  <si>
    <t>SOC 2 - Type 2</t>
  </si>
  <si>
    <t>Amzure Unified Services</t>
  </si>
  <si>
    <t>EZScript</t>
  </si>
  <si>
    <t>Anushree</t>
  </si>
  <si>
    <t>HIPPA</t>
  </si>
  <si>
    <t>Master Capital</t>
  </si>
  <si>
    <t>Pratham</t>
  </si>
  <si>
    <t>Hurix-Dictera</t>
  </si>
  <si>
    <t>GDPR</t>
  </si>
  <si>
    <t>PROFITMART SECURITIES PRIVATE LIMITED</t>
  </si>
  <si>
    <t>JMFL</t>
  </si>
  <si>
    <t>Documentation</t>
  </si>
  <si>
    <t>Master Capital - ISO 27001</t>
  </si>
  <si>
    <t>Indian Oil Adani Gas Limited</t>
  </si>
  <si>
    <t>Shoonya Finvasiya</t>
  </si>
  <si>
    <t>APPLICATION APPROVAL</t>
  </si>
  <si>
    <t>Jayneel Chokshi</t>
  </si>
  <si>
    <t>IndusInd Securities - IS Audit</t>
  </si>
  <si>
    <t>IS Audit</t>
  </si>
  <si>
    <t>Alphae</t>
  </si>
  <si>
    <t xml:space="preserve">ARSSBL </t>
  </si>
  <si>
    <t>Surveillance Audit</t>
  </si>
  <si>
    <t xml:space="preserve">Octanom Tech Private Limited </t>
  </si>
  <si>
    <t>(Application Approval - NSE, BSE)</t>
  </si>
  <si>
    <t xml:space="preserve">HOCCO </t>
  </si>
  <si>
    <t>Maturity Assessment</t>
  </si>
  <si>
    <t>Jayraj</t>
  </si>
  <si>
    <t>Jamin Doshi</t>
  </si>
  <si>
    <t>Inferenz Tech Private Limited - Surveillance Audit</t>
  </si>
  <si>
    <t>Jayneel Chokshi, Akash Panchal</t>
  </si>
  <si>
    <t xml:space="preserve">JAPFA Comfeed India Pvt Ltd - Surveillance Audit </t>
  </si>
  <si>
    <t>Mihir</t>
  </si>
  <si>
    <t>SandBox - ISO:27001 Renewal (Certification)  (Sandbox's ISO 27001:2022 Re-certification Audit)</t>
  </si>
  <si>
    <t>Ketan</t>
  </si>
  <si>
    <t>Multi Commodity Exchange Clearing Corporation Limited</t>
  </si>
  <si>
    <t>ISO 22301:2019</t>
  </si>
  <si>
    <t>Gautam Patidar , Anushree pillai, Aditya katkar</t>
  </si>
  <si>
    <t>Shankhdeep</t>
  </si>
  <si>
    <t xml:space="preserve">Master Capital </t>
  </si>
  <si>
    <t>E-KYC</t>
  </si>
  <si>
    <t>SR Algotech Private Limited - Algo Approval NSE</t>
  </si>
  <si>
    <t>Algo Approval Audit</t>
  </si>
  <si>
    <t>Tejas</t>
  </si>
  <si>
    <t>Not Started</t>
  </si>
  <si>
    <t>Cancelled</t>
  </si>
  <si>
    <t>SR Algotech Private Limited - Algo Approval BSE</t>
  </si>
  <si>
    <t>WISEOWL SECURITIES PRIVATE LIMITED (Finnhancer Solutions Private Limited)</t>
  </si>
  <si>
    <t>Hold</t>
  </si>
  <si>
    <t>Societe Generale</t>
  </si>
  <si>
    <t>GRC - Activity</t>
  </si>
  <si>
    <t>INFINITY CYBERSEC PTE LTD - SOC 2</t>
  </si>
  <si>
    <t>Sunidhi  Securities &amp; Finance Ltd - GRC ACTIVITY</t>
  </si>
  <si>
    <t>Gretex Broking- IBT &amp; STWT BSE F&amp;O</t>
  </si>
  <si>
    <t>SUMANEL TECHNOLOGY VENTURES PVT LTD - SOC 2</t>
  </si>
  <si>
    <t>Dec 2,2025</t>
  </si>
  <si>
    <t xml:space="preserve">Chandrakala Broking Services Pvt. Ltd </t>
  </si>
  <si>
    <t>Mar 2,2025</t>
  </si>
  <si>
    <t>Sunidhi  Securities &amp; Finance Ltd - Risk Assessment</t>
  </si>
  <si>
    <t>Risk Assessment</t>
  </si>
  <si>
    <t>Mar 18,2026</t>
  </si>
  <si>
    <t>master trust - Application Approval</t>
  </si>
  <si>
    <t>Eureka Stock &amp; Share Broking Services Limited</t>
  </si>
  <si>
    <t>Akshar</t>
  </si>
  <si>
    <t>XTS</t>
  </si>
  <si>
    <t>JAIPUR INTERNATIONAL AIRPORT LIMITED SANGANER</t>
  </si>
  <si>
    <t xml:space="preserve">Maturity Assessment , GRC Actibity </t>
  </si>
  <si>
    <t>TDL/JIALS/CISF/2026-27/0092</t>
  </si>
  <si>
    <t>Hitisha Goyal</t>
  </si>
  <si>
    <t>Shree Naman Securities and Finance Pvt. Ltd</t>
  </si>
  <si>
    <t>Futurus FinAce Consulting Private Limited</t>
  </si>
  <si>
    <t>Jayraj, Anushree</t>
  </si>
  <si>
    <t>Rushab Pawani</t>
  </si>
  <si>
    <t>CMMI LEVEL 3</t>
  </si>
  <si>
    <t>SOC</t>
  </si>
  <si>
    <t>COMFORT SECURITIES LIMITED</t>
  </si>
  <si>
    <t>APPLICATION APPROVAL AUDIT</t>
  </si>
  <si>
    <t>Vineet</t>
  </si>
  <si>
    <t>SUMANEL TECHNOLOGY VENTURES PVT LTD</t>
  </si>
  <si>
    <t>ISO 27001:2022</t>
  </si>
  <si>
    <t>Jaimin</t>
  </si>
  <si>
    <t>ADJ UTILITY APPS PRIVATE LIMITED (KhataBook)</t>
  </si>
  <si>
    <t>ISO 27001/2022 certification only and support during the external audit</t>
  </si>
  <si>
    <t>Genie InfoTech Private Limited</t>
  </si>
  <si>
    <t>Shankhadeep</t>
  </si>
  <si>
    <t>Rugr Sil Pvt Ltd.</t>
  </si>
  <si>
    <t>DL Secure Application Review - SAR Report -&gt; Suvarna Laxmi Nidhi Limited</t>
  </si>
  <si>
    <t xml:space="preserve">Kavish </t>
  </si>
  <si>
    <t>Nikhil</t>
  </si>
  <si>
    <t>The Ranuj Nagrik Sahakari Bank</t>
  </si>
  <si>
    <t>SAQ AUDIT</t>
  </si>
  <si>
    <t>Bank</t>
  </si>
  <si>
    <t>Beawar Urban Cooperative Bank ltd</t>
  </si>
  <si>
    <t>Deven</t>
  </si>
  <si>
    <t>Ahmednagar Shahar Sahakari Bank</t>
  </si>
  <si>
    <t>Ashutosh, Anushree</t>
  </si>
  <si>
    <t>Dhanera Mercantile Co-Operative Bank Limited.</t>
  </si>
  <si>
    <t>IT/IS AUDIT</t>
  </si>
  <si>
    <t>The Nadiad People's Co-op. Bank Ltd</t>
  </si>
  <si>
    <t>Hrishikesh</t>
  </si>
  <si>
    <t>Progressive Mercantile Cooperative Bank</t>
  </si>
  <si>
    <t>Sagar</t>
  </si>
  <si>
    <t>People's Co-operative Bank Ltd Dholka</t>
  </si>
  <si>
    <t>The Modasa Nagarik Sahakari Bank Ltd</t>
  </si>
  <si>
    <t>Ehshan, Anushree</t>
  </si>
  <si>
    <t>The saurashtra co. op Bank Ltd</t>
  </si>
  <si>
    <t xml:space="preserve">Raigad Sahakari Bank Ltd.  </t>
  </si>
  <si>
    <t>The Vyankateshwara Sahakari Bank Ltd - Gap Assesment</t>
  </si>
  <si>
    <t>The Vyankateshwara Sahakari Bank Ltd - IS Audit (Onsite)</t>
  </si>
  <si>
    <t>RAJPUTANA MAHILA URBAN COOP. BANK LTD.</t>
  </si>
  <si>
    <r>
      <t xml:space="preserve">Etawah Urban Bank </t>
    </r>
    <r>
      <rPr>
        <b/>
        <sz val="10"/>
        <color rgb="FF1F2A44"/>
        <rFont val="Calibri"/>
        <family val="2"/>
      </rPr>
      <t>(Not Applicable)</t>
    </r>
  </si>
  <si>
    <t>SAR AUDIT</t>
  </si>
  <si>
    <t>Jodhpur Nagrik Sahakari Bank Limited - Reassessment</t>
  </si>
  <si>
    <t>Vineet, Purvi</t>
  </si>
  <si>
    <t>Patan Nagarik Sahakari Bank - re assessment</t>
  </si>
  <si>
    <t>Jayraj, Kavish</t>
  </si>
  <si>
    <t>Himatnagar Nagrik Sahakari Bank Limited - Re Assessment</t>
  </si>
  <si>
    <t>Jayraj , Deven</t>
  </si>
  <si>
    <t xml:space="preserve">THE BANASKANTHA DISTRICT CENTRAL CO-OP. BANK LTD. </t>
  </si>
  <si>
    <t>CYBER AUDIT</t>
  </si>
  <si>
    <t>VICS AUDIT</t>
  </si>
  <si>
    <t xml:space="preserve">Vijay Cooperative bank </t>
  </si>
  <si>
    <t>CPS AUDIT</t>
  </si>
  <si>
    <t>Purvi</t>
  </si>
  <si>
    <t>THE NEW URBAN CO-OPERATIVE BANK LTD RAMPUR</t>
  </si>
  <si>
    <t xml:space="preserve">Akshar </t>
  </si>
  <si>
    <t>3 Branches</t>
  </si>
  <si>
    <t>Nagrik Sahakari Bank Maryadit</t>
  </si>
  <si>
    <t>Krishnapal</t>
  </si>
  <si>
    <t>Shankdeep</t>
  </si>
  <si>
    <t>Nagrik Sahakari Bank Maryadit - on site</t>
  </si>
  <si>
    <t>Uttarakhand Co-Operative Bank Ltd</t>
  </si>
  <si>
    <t>Akhand Anand Co-Operative Bank Limited - Re Assessment</t>
  </si>
  <si>
    <t>Gandhidham Co-operative Bank Limited - Re Assessment</t>
  </si>
  <si>
    <t>Rajkot Peoples Co-operative Bank Limited - Re_Assessment</t>
  </si>
  <si>
    <t>Aditya</t>
  </si>
  <si>
    <t>Agrasen Bank- Reassessment</t>
  </si>
  <si>
    <t>The Hisar Urban Cooperative Bank Ltd.</t>
  </si>
  <si>
    <t>Owesh</t>
  </si>
  <si>
    <t xml:space="preserve">The Postal &amp; RMS Employees Co-op Bank Ltd. </t>
  </si>
  <si>
    <t>Jalore Nagrik Sahakari Bank Ltd.</t>
  </si>
  <si>
    <t>NEFT-RTGS</t>
  </si>
  <si>
    <t>PATAN CO-OPERATIVE BANK LTD</t>
  </si>
  <si>
    <t>THE CENTRAL CO OPERATIVE BANK LTD</t>
  </si>
  <si>
    <t>The Udaipur Central Co-operative Bank Ltd.</t>
  </si>
  <si>
    <t>Kota Nagrik Sahkari Bank Ltd.</t>
  </si>
  <si>
    <t>Zubeda</t>
  </si>
  <si>
    <t>TM Systems</t>
  </si>
  <si>
    <t>SAR AUDIT (DC &amp; DR)</t>
  </si>
  <si>
    <t>The Gandhinagar Nagrik Co-operative Bank Ltd</t>
  </si>
  <si>
    <t>SAR</t>
  </si>
  <si>
    <t>The Urban Cooperative Bank Ltd</t>
  </si>
  <si>
    <t>Gourav</t>
  </si>
  <si>
    <t>The Saurashtra Co-operative Bank Limited</t>
  </si>
  <si>
    <t>IT/IS AUDIT/EDp</t>
  </si>
  <si>
    <t>Pali Urban Coop Bank - SAQ</t>
  </si>
  <si>
    <t>The Udaipur Mahila Urban Co Op Bank Ltd - IS</t>
  </si>
  <si>
    <t>IS</t>
  </si>
  <si>
    <t>Arya Patel</t>
  </si>
  <si>
    <t>Aug 5,2025</t>
  </si>
  <si>
    <t>Mehsana Jilla Panchayat Coop Bank - SAQ</t>
  </si>
  <si>
    <t>Jun 25,2025</t>
  </si>
  <si>
    <t>The Raj Laxmi Mahila Urban Co-Op. Bank Ltd - SAQ Audit</t>
  </si>
  <si>
    <t>Mar 11,2026</t>
  </si>
  <si>
    <t>Integral Bank - SAQ</t>
  </si>
  <si>
    <t>PATAN CO-OPERATIVE BANK LTD - SAQ Audit</t>
  </si>
  <si>
    <t>Feb 9,2026</t>
  </si>
  <si>
    <t>Alavi Co-Op Bank - Gap Assessment</t>
  </si>
  <si>
    <t>Dec 15,2025</t>
  </si>
  <si>
    <t>Apani Sahakari Bank Ltd - IS Audit</t>
  </si>
  <si>
    <t xml:space="preserve">IS </t>
  </si>
  <si>
    <t>Mar 9,2026</t>
  </si>
  <si>
    <t>Apani Sahakari Bank - DLSAR</t>
  </si>
  <si>
    <t>Dlsar</t>
  </si>
  <si>
    <t>Mar 13,2026</t>
  </si>
  <si>
    <t>Sudha Co-Operative Urban Bank Ltd. - IS</t>
  </si>
  <si>
    <t>Ehshan</t>
  </si>
  <si>
    <t>Sep 29,2025</t>
  </si>
  <si>
    <t>Sudha Co-Operative Urban Bank Ltd. - SAR</t>
  </si>
  <si>
    <t xml:space="preserve">SAR </t>
  </si>
  <si>
    <t>THE BANASKANTHA DISTRICT CENTRAL CO-OP. BANK LTD. - IS</t>
  </si>
  <si>
    <t>Jul 29,2025</t>
  </si>
  <si>
    <t>GVP - DL SAR</t>
  </si>
  <si>
    <t>Jan 23,2026</t>
  </si>
  <si>
    <t>Vijay Cooperative - IT/IS Audit</t>
  </si>
  <si>
    <t>IT/IS Audit</t>
  </si>
  <si>
    <t>Dec 23,2025</t>
  </si>
  <si>
    <t>Vijay Cooperative bank</t>
  </si>
  <si>
    <t>CPS</t>
  </si>
  <si>
    <t>The Khambhat Nagarik Sahakari Bank Ltd - IT/IS AUDIT</t>
  </si>
  <si>
    <t>Nov 3,2025</t>
  </si>
  <si>
    <t>The Khambhat Nagarik Sahakari Bank Ltd - EDP</t>
  </si>
  <si>
    <t>EDP Audit</t>
  </si>
  <si>
    <t>Indore Paraspar Sahkari Bank - SAQ</t>
  </si>
  <si>
    <t>Yash</t>
  </si>
  <si>
    <t>May 6,2025</t>
  </si>
  <si>
    <t>Jodhpur Nagrik Sahakari Bank Limited - RE ASSESSMENT IS</t>
  </si>
  <si>
    <t>Mar 18,2025</t>
  </si>
  <si>
    <t>Gandhidham Co-operative Bank Limited - SAQ</t>
  </si>
  <si>
    <t>Yuvraj sharma</t>
  </si>
  <si>
    <t>Dec 26,2025</t>
  </si>
  <si>
    <t>Malviya Bank - RE ASSESSMENT SAQ</t>
  </si>
  <si>
    <t>UNIVERSAL CO-OPERATIVE URBAN BANK LIMITED</t>
  </si>
  <si>
    <t>The Citizens Urban Coop.Bank Ltd.</t>
  </si>
  <si>
    <t xml:space="preserve">Venkata Sai </t>
  </si>
  <si>
    <t>Buoyant capital private limited</t>
  </si>
  <si>
    <t>Gap Assessment &amp; IMP</t>
  </si>
  <si>
    <t>PROJECT CANCELLED</t>
  </si>
  <si>
    <t>Deepshika</t>
  </si>
  <si>
    <t>PROGRESSIVE MERCANTILE CO.OP BANK LTD.</t>
  </si>
  <si>
    <t>UP Postal Primary Cooperative Bank Limited</t>
  </si>
  <si>
    <t>Shree Bhavnagar Sahkari Bank FY 2026 - 2027</t>
  </si>
  <si>
    <t>Kavish</t>
  </si>
  <si>
    <t>Urban Co-Operative Bank Ltd bareilly</t>
  </si>
  <si>
    <t>Himmatnagar Nagrik Sahakari Bank Ltd</t>
  </si>
  <si>
    <t>Shree Mahuva Nagrik Sahakari Bank Ltd.</t>
  </si>
  <si>
    <t>GAP Assessment (SAQ)</t>
  </si>
  <si>
    <t>The Bavla Nagrik Sahakari Bank Ltd.</t>
  </si>
  <si>
    <t>Aishwarya</t>
  </si>
  <si>
    <t>BHILWARA URBAN CO-OPERATIVE BANK LTD</t>
  </si>
  <si>
    <t xml:space="preserve">Aditya </t>
  </si>
  <si>
    <t xml:space="preserve">GAP Assessment </t>
  </si>
  <si>
    <t>Etawah Urban Bank</t>
  </si>
  <si>
    <r>
      <t>DAUSA KENDRIYA SAHKARI Bank Ltd. </t>
    </r>
    <r>
      <rPr>
        <b/>
        <sz val="11"/>
        <color rgb="FF000000"/>
        <rFont val="Aptos Narrow"/>
      </rPr>
      <t>[Onsite]</t>
    </r>
  </si>
  <si>
    <t>IT/IS</t>
  </si>
  <si>
    <t>Jay</t>
  </si>
  <si>
    <t>The Udupi Co-operative Town Bank Ltd.</t>
  </si>
  <si>
    <r>
      <t xml:space="preserve">The Bavla Nagrik Sahakari Bank Ltd. - </t>
    </r>
    <r>
      <rPr>
        <b/>
        <sz val="11"/>
        <color rgb="FF000000"/>
        <rFont val="Aptos Narrow"/>
      </rPr>
      <t>Reassessment</t>
    </r>
  </si>
  <si>
    <r>
      <t xml:space="preserve">The Gandhinagar Nagrik Co-operative Bank Ltd - </t>
    </r>
    <r>
      <rPr>
        <b/>
        <sz val="11"/>
        <color rgb="FF000000"/>
        <rFont val="Aptos Narrow"/>
      </rPr>
      <t>Reassessment</t>
    </r>
  </si>
  <si>
    <t>Alavi Co-operative Bank</t>
  </si>
  <si>
    <t>Sarfaraz</t>
  </si>
  <si>
    <t>INDORE PARASPAR SAHAKARI BANK LIMITED</t>
  </si>
  <si>
    <t>Divya</t>
  </si>
  <si>
    <t>TDL/TVCOBL/IT-IS/2026-27/0118</t>
  </si>
  <si>
    <t>Credit Agricole Corporate and Investment Bank</t>
  </si>
  <si>
    <t>CYB_IFSCA</t>
  </si>
  <si>
    <t>TDL/CACAIB/IFSCA/2026-27/0085</t>
  </si>
  <si>
    <t>Jodhpur Nagrik Sahakari Bank Limited</t>
  </si>
  <si>
    <t>THE IDAR NAGRIK SAHAKARI BANK LTD. - IS Audit (FY 2025-26)</t>
  </si>
  <si>
    <t>THE IDAR NAGRIK SAHAKARI BANK LTD. - GAP Assessment (FY 2025-26)</t>
  </si>
  <si>
    <t>THE IDAR NAGRIK SAHAKARI BANK LTD. - SAR Audit (FY 2025-26)</t>
  </si>
  <si>
    <t>SAR Audit</t>
  </si>
  <si>
    <t>THE IDAR NAGRIK SAHAKARI BANK LTD. - IS Audit (FY 2026-27)</t>
  </si>
  <si>
    <t>THE IDAR NAGRIK SAHAKARI BANK LTD. - GAP Assessment (FY 2026-27)</t>
  </si>
  <si>
    <t>THE IDAR NAGRIK SAHAKARI BANK LTD. - SAR Audit (FY 2026-27)</t>
  </si>
  <si>
    <t>CynalitX Consulting LLP-JIO Payment Bank</t>
  </si>
  <si>
    <t>NPCI Audit</t>
  </si>
  <si>
    <t>Dhruv</t>
  </si>
  <si>
    <t xml:space="preserve">Asian &amp; vikabh Markets Securities Private Limited </t>
  </si>
  <si>
    <t>CSCRF AUDIT</t>
  </si>
  <si>
    <t>CSCRF</t>
  </si>
  <si>
    <t>Monday, December 29, 2025</t>
  </si>
  <si>
    <t>Matalia Stock broking Pvt Ltd</t>
  </si>
  <si>
    <t>Aditya katkar</t>
  </si>
  <si>
    <t>Thursday, December 18, 2025</t>
  </si>
  <si>
    <t>BGSE Financials ltd</t>
  </si>
  <si>
    <t>Wednesday, December 3, 2025</t>
  </si>
  <si>
    <t xml:space="preserve">PRABHAT FINANCIAL SERVICES LIMITED </t>
  </si>
  <si>
    <t>Tuesday, November 18, 2025</t>
  </si>
  <si>
    <t>Erudore Capital</t>
  </si>
  <si>
    <t>Thursday, October 16, 2025</t>
  </si>
  <si>
    <t>Gretex Corporate Services Ltd</t>
  </si>
  <si>
    <t>Wednesday, August 26, 2026</t>
  </si>
  <si>
    <t>Skyline Financial Services Pvt. Ltd.</t>
  </si>
  <si>
    <t>Thursday, August 21, 2025</t>
  </si>
  <si>
    <t>Finnax Capital</t>
  </si>
  <si>
    <t>Yash, Jayraj</t>
  </si>
  <si>
    <t>Thursday, September 4, 2025</t>
  </si>
  <si>
    <t>CAPITAL 8 LLP</t>
  </si>
  <si>
    <t>Thursday, June 19, 2025</t>
  </si>
  <si>
    <t>Stallion Asset Pvt. Ltd.</t>
  </si>
  <si>
    <t>Tuesday, February 10, 2026</t>
  </si>
  <si>
    <t>Green Lantern Capital LLP</t>
  </si>
  <si>
    <t>Monday, February 9, 2026</t>
  </si>
  <si>
    <t>Dhanera Mercantile Co-Operative Bank Limited</t>
  </si>
  <si>
    <t>Gap Assessment</t>
  </si>
  <si>
    <t>Thursday, March 5, 2026</t>
  </si>
  <si>
    <t>SHADE CAPITAL PRIVATE LIMITED</t>
  </si>
  <si>
    <t>GAP Assesment</t>
  </si>
  <si>
    <t>Tuesday, March 17, 2026</t>
  </si>
  <si>
    <t>Maximal Capital</t>
  </si>
  <si>
    <t>TCG Advisory Services Private Limited</t>
  </si>
  <si>
    <t>Sakshi</t>
  </si>
  <si>
    <t>Wednesday, March 25, 2026</t>
  </si>
  <si>
    <t>Quant Money Manager LTD</t>
  </si>
  <si>
    <t>Tuesday, April 7, 2026</t>
  </si>
  <si>
    <t>SSCORPORATE.SECURITIES LTD</t>
  </si>
  <si>
    <t xml:space="preserve">Deepshika </t>
  </si>
  <si>
    <t>April 15 2026</t>
  </si>
  <si>
    <t>Crown Consultants PVT Limited - sys_inspection</t>
  </si>
  <si>
    <t>april 17 2026</t>
  </si>
  <si>
    <t>P. SURYAKANT SHARE &amp; STOCK BROKERS PVT. LTD.</t>
  </si>
  <si>
    <t>PSJ Securities Private Limited.</t>
  </si>
  <si>
    <t xml:space="preserve">16 Alpha LLP </t>
  </si>
  <si>
    <t>Old Bridge Capital Management </t>
  </si>
  <si>
    <t>Kailash</t>
  </si>
  <si>
    <t>Spread X Securities Private limited </t>
  </si>
  <si>
    <t>TDL/SSPL/CSCRF/2026-27/0125</t>
  </si>
  <si>
    <t>Beeline Capital Advisors Private Limited</t>
  </si>
  <si>
    <t>Craving Alpha Wealth Fund</t>
  </si>
  <si>
    <t xml:space="preserve">AARTH FUND MANAGERS LLP </t>
  </si>
  <si>
    <t>Mangal Keshav Financial Services LLP (Mangal Keshav Capital Ltd.)</t>
  </si>
  <si>
    <t>Betala Stock Broking Limited</t>
  </si>
  <si>
    <t>CANCELLED</t>
  </si>
  <si>
    <t>Nirbhay Capital Services Private Limited (Merchant Banker)</t>
  </si>
  <si>
    <t>CSCRF _ IMP</t>
  </si>
  <si>
    <t>Amrapali Group</t>
  </si>
  <si>
    <t>CSCRF_IMP</t>
  </si>
  <si>
    <t>ANS Pvt. Ltd.</t>
  </si>
  <si>
    <t>A.K. Wealth Management Private Limited</t>
  </si>
  <si>
    <t>A.K. Alternative Asset Managers Private Limited</t>
  </si>
  <si>
    <t>Capeview Investment Managers Private Limited</t>
  </si>
  <si>
    <t>A.K. Capital Services Limited</t>
  </si>
  <si>
    <t>Ursa Labs</t>
  </si>
  <si>
    <t xml:space="preserve">Purva Shares </t>
  </si>
  <si>
    <t>OHM stock Broker</t>
  </si>
  <si>
    <t>Ohm Portfolio Equi Research</t>
  </si>
  <si>
    <t>SAMCO Asset Management Private Limited - CSCRF</t>
  </si>
  <si>
    <t>VSPARTANS CONSULTANTS PRIVATE LIMITED - CSCRF</t>
  </si>
  <si>
    <t>Saturday, August 9, 2025</t>
  </si>
  <si>
    <t>Accor growth fund - CSCRF</t>
  </si>
  <si>
    <t>december 2 2025</t>
  </si>
  <si>
    <t>NX BLOCK TRADES PVT. LIMITED - CSCRF IMPLEMENTED</t>
  </si>
  <si>
    <t>Sep 11,2025</t>
  </si>
  <si>
    <t>ATIVIR FINANCIAL CONSULTANTS PRIVATE LIMITED - CRCRF</t>
  </si>
  <si>
    <t>Aug 26,2025</t>
  </si>
  <si>
    <t>Miracles Fintech Pvt. Ltd. - CSCRF</t>
  </si>
  <si>
    <t>Jun 6,2025</t>
  </si>
  <si>
    <t>R. Wadiwala Securities Pvt. Ltd. - CSCRF</t>
  </si>
  <si>
    <t>Lalit Manharlal Securities Pvt. Ltd.</t>
  </si>
  <si>
    <t>Feb 19,2026</t>
  </si>
  <si>
    <t>crown consultancy - CSCRF Based on sys_inspection</t>
  </si>
  <si>
    <t>CSCRF Based on sys_inspection</t>
  </si>
  <si>
    <t>Skyridge Growth Fund -CSCRF Gap Assessment</t>
  </si>
  <si>
    <t>CSCRF Gap Assessment</t>
  </si>
  <si>
    <t>Jan 24,2026</t>
  </si>
  <si>
    <t>junomoneta finsol private limited</t>
  </si>
  <si>
    <t>Oct 3,2025</t>
  </si>
  <si>
    <t>Rarever Financial Advisors Pvt. Ltd</t>
  </si>
  <si>
    <t>Aug 21,2025</t>
  </si>
  <si>
    <t>capitar ventures india debt fund-i (AIF) - CSCRF</t>
  </si>
  <si>
    <t>Aug 25,2025</t>
  </si>
  <si>
    <t>Vikabh Securities Pvt Ltd - CSCRF</t>
  </si>
  <si>
    <t>Dec 29,2025</t>
  </si>
  <si>
    <t>Asian Markets Securities Private Limited - CSCRF</t>
  </si>
  <si>
    <t>BAJAJ CAPITAL SECURITIES LIMITED (Merchant Banker</t>
  </si>
  <si>
    <t>CSCRF AUDIT_GAP</t>
  </si>
  <si>
    <t>Oxyzo Investment Manager Private Limited</t>
  </si>
  <si>
    <t>COMPOUNDING GEMS CAPITAL ADVISORS LLP_CSCRF_IMP</t>
  </si>
  <si>
    <t>VIRA BHARAT OPPORTUNITIES FUND</t>
  </si>
  <si>
    <t>CSCRF_GAP</t>
  </si>
  <si>
    <t>oklane capital</t>
  </si>
  <si>
    <t>Grey Sky Capital Private Limited</t>
  </si>
  <si>
    <t>CSCRF-GAP</t>
  </si>
  <si>
    <t>ATIVIR FINANCIAL CONSULTANTS PRIVATE LIMITED</t>
  </si>
  <si>
    <t>India Advantage Securities Pvt. Ltd</t>
  </si>
  <si>
    <t>CDSRF_IMP</t>
  </si>
  <si>
    <t>Yoke Securities Ltd</t>
  </si>
  <si>
    <t>VARDHMAN TRUSTEESHIP PRIVATE LIMITED</t>
  </si>
  <si>
    <t>CSCRF_Audit</t>
  </si>
  <si>
    <t>First among Equals</t>
  </si>
  <si>
    <t>TEWNTYTHREE 80 CAPITAL ADVISORS LLP</t>
  </si>
  <si>
    <t>Capri Stressed Assets Fund</t>
  </si>
  <si>
    <t xml:space="preserve">Capri Special Situations Fund 1 </t>
  </si>
  <si>
    <t>COUNTER CYCLICAL INVESTMENTS PRIVATE LIMITED</t>
  </si>
  <si>
    <t>Market Creator Limited</t>
  </si>
  <si>
    <t>HINDUSTAN TRADECOM PVT LTD</t>
  </si>
  <si>
    <t>TDL/HTPL/CSCRF/2026-27/0117</t>
  </si>
  <si>
    <t>Recieved</t>
  </si>
  <si>
    <t>Ninealps</t>
  </si>
  <si>
    <t>JUNO ASSET MANAGMENT LLP</t>
  </si>
  <si>
    <t>SP Jain</t>
  </si>
  <si>
    <t>Invasset LLP</t>
  </si>
  <si>
    <t>policy review</t>
  </si>
  <si>
    <t>Xponentia Capital Partners LLP</t>
  </si>
  <si>
    <t>Boring AMC - Implementation Validation</t>
  </si>
  <si>
    <t>Boring AMC</t>
  </si>
  <si>
    <t>Persistent Growth Fund</t>
  </si>
  <si>
    <t>PJP Stock Broking LLP</t>
  </si>
  <si>
    <t>AFCO Capital India Private Limited</t>
  </si>
  <si>
    <t>CSCRF Policy Updation Cyber Audit</t>
  </si>
  <si>
    <t>AFCO Investments Services Private Limited</t>
  </si>
  <si>
    <t>Shannon Advisors Pvt Ltd</t>
  </si>
  <si>
    <t>ARDEKO ASSET MANAGEMENT PVT LTD.</t>
  </si>
  <si>
    <t>CSCRF (PMS)</t>
  </si>
  <si>
    <t>Enam Holdings</t>
  </si>
  <si>
    <t xml:space="preserve">CSCRF </t>
  </si>
  <si>
    <t>Caps Gold Pvt. Ltd</t>
  </si>
  <si>
    <t>CSCRF Policy Implementation</t>
  </si>
  <si>
    <t>Ashima Capital Manegement Ltd</t>
  </si>
  <si>
    <t>CSCRF GAP ASSESSMENT</t>
  </si>
  <si>
    <t>PIONEER INVESTCORP LTD</t>
  </si>
  <si>
    <t>CSCRF Audit and Implementation</t>
  </si>
  <si>
    <t>PIONEER WEALTH MANAGEMENT SERVICES LTD</t>
  </si>
  <si>
    <t>PRP Edge &amp; Alphaa money</t>
  </si>
  <si>
    <t>CSCRF Audit</t>
  </si>
  <si>
    <t>ASHIKA STOCK SERVICES LIMITED_MUMBAI ADDRESS</t>
  </si>
  <si>
    <t>ASHIKA STOCK SERVICES LIMITED_KOLKATA ADDRESS</t>
  </si>
  <si>
    <t>TWENTY SIX MILES ALPHA MANAGERS IFSC LLP</t>
  </si>
  <si>
    <t>CSCRF Review Audit Implementation</t>
  </si>
  <si>
    <t>Ratnakar Securities Pvt. Ltd</t>
  </si>
  <si>
    <t>Flookup Capital Advisors Private Limited</t>
  </si>
  <si>
    <t>Jain Investment</t>
  </si>
  <si>
    <t>Getfive Advisors Private Limited</t>
  </si>
  <si>
    <t xml:space="preserve">Kedia Shares </t>
  </si>
  <si>
    <t>Cyber_PMS</t>
  </si>
  <si>
    <t>YourNest India VC Fund II</t>
  </si>
  <si>
    <t>Cyber Audit + Cyber policy review</t>
  </si>
  <si>
    <t>YourNest Innovative Products VC Fund III</t>
  </si>
  <si>
    <t>YourNest Continuum Fund I</t>
  </si>
  <si>
    <t>Abans Global Limited</t>
  </si>
  <si>
    <t>Cyber_IFSCA</t>
  </si>
  <si>
    <t>Eureka Stock &amp; Share Broking Services Ltd. (Research Analyst)</t>
  </si>
  <si>
    <t>Eureka Stock &amp; Share Broking Services Ltd. (Investment Adviser)</t>
  </si>
  <si>
    <t>Eureka Portfolio Management Services Pvt Ltd. (PMS)</t>
  </si>
  <si>
    <t>Carnelian Asset Management &amp; Advisors Private Limited</t>
  </si>
  <si>
    <t>Cyber Audit_CSCRF</t>
  </si>
  <si>
    <t>Dhruvi</t>
  </si>
  <si>
    <t>A.K. Stockmarket Private Limited</t>
  </si>
  <si>
    <t>CYB_NSE</t>
  </si>
  <si>
    <t>CYB_BSE</t>
  </si>
  <si>
    <t>Thakkar Investment Fund</t>
  </si>
  <si>
    <t>CYB_AIF</t>
  </si>
  <si>
    <t xml:space="preserve">Silver Stream </t>
  </si>
  <si>
    <t>Cyber INDIA INX</t>
  </si>
  <si>
    <t>IT/IS RE-ASSESSMENT</t>
  </si>
  <si>
    <t>RBI</t>
  </si>
  <si>
    <t>CYB_GENERAL</t>
  </si>
  <si>
    <t xml:space="preserve">SAMCO Asset Management Private Limited </t>
  </si>
  <si>
    <t>SYS_GENERAL</t>
  </si>
  <si>
    <t>Shree Bhavnagar Sahkari Bank FY 2025 - 2026</t>
  </si>
  <si>
    <t>Lakhimpur Bank - SAQ</t>
  </si>
  <si>
    <t>SAQ</t>
  </si>
  <si>
    <t>Lakhimpur Bank - SAR</t>
  </si>
  <si>
    <t>Club Millionaire Financial Services Private Limited</t>
  </si>
  <si>
    <t>AUD202607670651</t>
  </si>
  <si>
    <t>TDL/CMFSPL/CSCRF/2026-27/0098</t>
  </si>
  <si>
    <t>Cyber Audit as per the SEBI + Implementation Guidance &amp; Support</t>
  </si>
  <si>
    <t>Nisus Finance Services Co Limited</t>
  </si>
  <si>
    <t>AUD202607908050</t>
  </si>
  <si>
    <t>TDL/NFSCL/CSCRF/2026-27/0099</t>
  </si>
  <si>
    <t xml:space="preserve">BNP Paribas </t>
  </si>
  <si>
    <t>Cyber Audit (General)</t>
  </si>
  <si>
    <t>Novus Capital Advisors Private Limited</t>
  </si>
  <si>
    <t>AUD202607482362</t>
  </si>
  <si>
    <t>TDL/NCAPL/CSCRF/2026-27/0100</t>
  </si>
  <si>
    <t>Dalmus Capital Management</t>
  </si>
  <si>
    <t>CSCRF Audit as per self-RE</t>
  </si>
  <si>
    <t>AUD202607631508</t>
  </si>
  <si>
    <t>TDL/DCML/CSCRF/2026-27/0101</t>
  </si>
  <si>
    <t>Gujarat Mercantile Co-Op Bank Ltd</t>
  </si>
  <si>
    <t>SAQ Audit</t>
  </si>
  <si>
    <t>AUD202607855808</t>
  </si>
  <si>
    <t>TDL/GMCBL/SAQ/2026-27/0102</t>
  </si>
  <si>
    <t>Indore Cloth Market Co-op Bank Ltd</t>
  </si>
  <si>
    <t>AUD202608231577</t>
  </si>
  <si>
    <t>TDL/ICMCBL/SAQ/2026-27/0103</t>
  </si>
  <si>
    <t>AUD202608607911</t>
  </si>
  <si>
    <t>TDL/ICMCBL/SAR/2026-27/0104</t>
  </si>
  <si>
    <t>AUD202608870212</t>
  </si>
  <si>
    <t>TDL/ICMCBL/EDP/2026-27/0105</t>
  </si>
  <si>
    <t>AUD202608732270</t>
  </si>
  <si>
    <t>TDL/ICMCBL/ITIS/2026-27/0106</t>
  </si>
  <si>
    <t>AUD202608236340</t>
  </si>
  <si>
    <t>TDL/MCPL/CSCRF/2026-27/0107</t>
  </si>
  <si>
    <t>RarEver Financial Advisors</t>
  </si>
  <si>
    <t>AUD202608620862</t>
  </si>
  <si>
    <t>TDL/RFAPL/CSCRF/2026-27/0093</t>
  </si>
  <si>
    <t>Oswal Shares &amp; Securities Ltd</t>
  </si>
  <si>
    <t>TDL/OSASP/CSCRF/2026-27/0113</t>
  </si>
  <si>
    <t>Getfive Assets Advisors Private Limited</t>
  </si>
  <si>
    <t>AUD202608678502</t>
  </si>
  <si>
    <t>TDL/GAAPL/CSCRF/2026-27/0108</t>
  </si>
  <si>
    <t>Crisil</t>
  </si>
  <si>
    <t>GRC Activity</t>
  </si>
  <si>
    <t>Manu Nair</t>
  </si>
  <si>
    <t>Equirius</t>
  </si>
  <si>
    <t>DEPLOYED ONSITE</t>
  </si>
  <si>
    <t>SIL</t>
  </si>
  <si>
    <t>Pranali &amp; Pranav</t>
  </si>
  <si>
    <t>Gesco</t>
  </si>
  <si>
    <t>TDSG</t>
  </si>
  <si>
    <t>Arya</t>
  </si>
  <si>
    <t>ATGL</t>
  </si>
  <si>
    <t>Yash &amp; Yuvraj</t>
  </si>
  <si>
    <t>Udupi Co-operative Town Bank Ltd</t>
  </si>
  <si>
    <t>SAQ RE-ASSESSMENT</t>
  </si>
  <si>
    <t>Asian Paints Limited</t>
  </si>
  <si>
    <t>AUD202608621731</t>
  </si>
  <si>
    <t>TDL/APL/ISO/2026-27/0109</t>
  </si>
  <si>
    <t>ONSITE PROJECT</t>
  </si>
  <si>
    <t>J4S Venture Fund</t>
  </si>
  <si>
    <t>Cyber Policy Creation &amp; Implementation as per CSCRF</t>
  </si>
  <si>
    <t>AUD202608507878</t>
  </si>
  <si>
    <t>TDL/JVF/CSCRF/2026-27/0110</t>
  </si>
  <si>
    <t>All In Capital</t>
  </si>
  <si>
    <t>AUD202608878202</t>
  </si>
  <si>
    <t>TDL/AIC/CSCRF/2026-27/0111</t>
  </si>
  <si>
    <t>IAAP Audit</t>
  </si>
  <si>
    <t>Completed by Third-Party</t>
  </si>
  <si>
    <t>BOOKIT DIGITAL TECHNOLOGIES PRIVATE LIMITED</t>
  </si>
  <si>
    <t>Dimple &amp; Jayneel</t>
  </si>
  <si>
    <t>COPPA</t>
  </si>
  <si>
    <t>FERPA</t>
  </si>
  <si>
    <t xml:space="preserve">Urban Co-Operative Bank Ltd bareilly </t>
  </si>
  <si>
    <t>SFMS</t>
  </si>
  <si>
    <t>NA</t>
  </si>
  <si>
    <t>TDL/UCOBLB/SFMS/2026-27/0097</t>
  </si>
  <si>
    <t>DP TRADEKING PRIVATE LIMITED</t>
  </si>
  <si>
    <t>Application Approval</t>
  </si>
  <si>
    <t>TDL/DTPL/Applicationapproval/2026-27/0116</t>
  </si>
  <si>
    <t>Application Approval for NSE- Algo</t>
  </si>
  <si>
    <t>TDL/DTPL/Applicationapproval/2026-27/0124</t>
  </si>
  <si>
    <t>Application Approval for NSE- API &amp; Retail Algo</t>
  </si>
  <si>
    <t>Sarvatra Technologies</t>
  </si>
  <si>
    <t>AUD202608912430</t>
  </si>
  <si>
    <t>TDL/STPL/SAR/2026-27/0112</t>
  </si>
  <si>
    <t>Hem Alternative Investments Trust</t>
  </si>
  <si>
    <t>AUD202608924325</t>
  </si>
  <si>
    <t>TDL/HAIT/CSCRF/2026-27/0115</t>
  </si>
  <si>
    <t>PROJECT ON HOLD UNTIL BD PROVIDES NEW PO</t>
  </si>
  <si>
    <t>Ahmednagar Sahar Sahakari Bank Limited</t>
  </si>
  <si>
    <t>AUD202608493527</t>
  </si>
  <si>
    <t>TDL/ASSBL/SAQ/2025-26/0114</t>
  </si>
  <si>
    <t xml:space="preserve">The Udaipur Mahila Urban Co-op. Bank LTD. </t>
  </si>
  <si>
    <t>AUD202608141189</t>
  </si>
  <si>
    <t>TDL/TUMUCBL/IS/2026-27/0119</t>
  </si>
  <si>
    <t>AUD202608560329</t>
  </si>
  <si>
    <t>TDL/TUMUCBL/SAQ/2026-27/0120</t>
  </si>
  <si>
    <t>Emerald Capital</t>
  </si>
  <si>
    <r>
      <rPr>
        <sz val="10"/>
        <color rgb="FF1F2A44"/>
        <rFont val="Calibri"/>
      </rPr>
      <t xml:space="preserve">JJ IPO Advisor Pvt. Ltd. - </t>
    </r>
    <r>
      <rPr>
        <b/>
        <sz val="10"/>
        <color rgb="FF1F2A44"/>
        <rFont val="Calibri"/>
      </rPr>
      <t>( FY 2025–26)</t>
    </r>
  </si>
  <si>
    <t>CSCRF Assessment &amp;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</si>
</sst>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1"/>
    </font>
    <font>
      <b/>
      <sz val="22"/>
      <color rgb="FF1F2A44"/>
      <name val="Calibri"/>
      <charset val="1"/>
    </font>
    <font>
      <i/>
      <sz val="10.5"/>
      <color rgb="FF5B6577"/>
      <name val="Calibri"/>
      <charset val="1"/>
    </font>
    <font>
      <b/>
      <sz val="10"/>
      <color rgb="FFFFFFFF"/>
      <name val="Calibri"/>
      <charset val="1"/>
    </font>
    <font>
      <b/>
      <sz val="30"/>
      <color rgb="FFFFFFFF"/>
      <name val="Calibri"/>
      <charset val="1"/>
    </font>
    <font>
      <b/>
      <sz val="13"/>
      <color rgb="FFFFFFFF"/>
      <name val="Calibri"/>
      <charset val="1"/>
    </font>
    <font>
      <i/>
      <sz val="9"/>
      <color rgb="FF5B6577"/>
      <name val="Calibri"/>
      <charset val="1"/>
    </font>
    <font>
      <b/>
      <sz val="10.5"/>
      <color rgb="FF1F2A44"/>
      <name val="Calibri"/>
      <charset val="1"/>
    </font>
    <font>
      <b/>
      <sz val="10.5"/>
      <color rgb="FF6E7A8F"/>
      <name val="Calibri"/>
      <charset val="1"/>
    </font>
    <font>
      <b/>
      <sz val="10.5"/>
      <color rgb="FF2F6FED"/>
      <name val="Calibri"/>
      <charset val="1"/>
    </font>
    <font>
      <b/>
      <sz val="10.5"/>
      <color rgb="FFF2994A"/>
      <name val="Calibri"/>
      <charset val="1"/>
    </font>
    <font>
      <b/>
      <sz val="10.5"/>
      <color rgb="FF27AE60"/>
      <name val="Calibri"/>
      <charset val="1"/>
    </font>
    <font>
      <b/>
      <sz val="11"/>
      <color rgb="FF1F2A44"/>
      <name val="Calibri"/>
      <charset val="1"/>
    </font>
    <font>
      <sz val="10"/>
      <name val="Arial"/>
      <family val="2"/>
    </font>
    <font>
      <b/>
      <sz val="11"/>
      <color rgb="FFFFFFFF"/>
      <name val="Calibri"/>
      <charset val="1"/>
    </font>
    <font>
      <sz val="10"/>
      <color rgb="FF1F2A44"/>
      <name val="Calibri"/>
      <charset val="1"/>
    </font>
    <font>
      <b/>
      <sz val="11"/>
      <color rgb="FF000000"/>
      <name val="Aptos Narrow"/>
    </font>
    <font>
      <b/>
      <sz val="10"/>
      <color rgb="FF1F2A44"/>
      <name val="Calibri"/>
      <family val="2"/>
    </font>
    <font>
      <sz val="10"/>
      <color rgb="FF1F2A44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1F2A44"/>
      <name val="Calibri"/>
      <family val="2"/>
      <charset val="1"/>
    </font>
    <font>
      <sz val="10"/>
      <color rgb="FF1F2A44"/>
      <name val="Calibri"/>
    </font>
    <font>
      <b/>
      <sz val="10"/>
      <color rgb="FF1F2A44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AF1FB"/>
        <bgColor rgb="FFEFF4FC"/>
      </patternFill>
    </fill>
    <fill>
      <patternFill patternType="solid">
        <fgColor rgb="FF1F2A44"/>
        <bgColor rgb="FF27385C"/>
      </patternFill>
    </fill>
    <fill>
      <patternFill patternType="solid">
        <fgColor rgb="FF27AE60"/>
        <bgColor rgb="FF17A398"/>
      </patternFill>
    </fill>
    <fill>
      <patternFill patternType="solid">
        <fgColor rgb="FF2F6FED"/>
        <bgColor rgb="FF0066CC"/>
      </patternFill>
    </fill>
    <fill>
      <patternFill patternType="solid">
        <fgColor rgb="FFF2994A"/>
        <bgColor rgb="FFFF8080"/>
      </patternFill>
    </fill>
    <fill>
      <patternFill patternType="solid">
        <fgColor rgb="FF6E7A8F"/>
        <bgColor rgb="FF5B6577"/>
      </patternFill>
    </fill>
    <fill>
      <patternFill patternType="solid">
        <fgColor rgb="FF27385C"/>
        <bgColor rgb="FF1F2A44"/>
      </patternFill>
    </fill>
    <fill>
      <patternFill patternType="solid">
        <fgColor rgb="FFEFF4FC"/>
        <bgColor rgb="FFEAF1FB"/>
      </patternFill>
    </fill>
    <fill>
      <patternFill patternType="solid">
        <fgColor rgb="FFFFFFFF"/>
        <bgColor rgb="FFEFF4FC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17A398"/>
      </bottom>
      <diagonal/>
    </border>
    <border>
      <left/>
      <right/>
      <top style="thin">
        <color rgb="FFFFFFFF"/>
      </top>
      <bottom/>
      <diagonal/>
    </border>
    <border>
      <left style="thin">
        <color rgb="FFE1E5EE"/>
      </left>
      <right style="medium">
        <color rgb="FFB9C3D6"/>
      </right>
      <top style="thin">
        <color rgb="FFE1E5EE"/>
      </top>
      <bottom style="thin">
        <color rgb="FFE1E5EE"/>
      </bottom>
      <diagonal/>
    </border>
    <border>
      <left/>
      <right/>
      <top/>
      <bottom style="medium">
        <color rgb="FFB9C3D6"/>
      </bottom>
      <diagonal/>
    </border>
    <border>
      <left/>
      <right style="medium">
        <color rgb="FFB9C3D6"/>
      </right>
      <top/>
      <bottom style="medium">
        <color rgb="FFB9C3D6"/>
      </bottom>
      <diagonal/>
    </border>
    <border>
      <left/>
      <right/>
      <top/>
      <bottom style="thick">
        <color rgb="FF17A398"/>
      </bottom>
      <diagonal/>
    </border>
    <border>
      <left style="thin">
        <color rgb="FFD7E0F0"/>
      </left>
      <right style="thin">
        <color rgb="FFD7E0F0"/>
      </right>
      <top style="thin">
        <color rgb="FFD7E0F0"/>
      </top>
      <bottom style="thin">
        <color rgb="FFD7E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5DAE3"/>
      </top>
      <bottom style="thin">
        <color rgb="FFD5DA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D5DAE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4" xfId="0" applyFill="1" applyBorder="1"/>
    <xf numFmtId="0" fontId="0" fillId="4" borderId="5" xfId="0" applyFill="1" applyBorder="1"/>
    <xf numFmtId="0" fontId="0" fillId="5" borderId="4" xfId="0" applyFill="1" applyBorder="1"/>
    <xf numFmtId="0" fontId="0" fillId="5" borderId="5" xfId="0" applyFill="1" applyBorder="1"/>
    <xf numFmtId="0" fontId="0" fillId="6" borderId="4" xfId="0" applyFill="1" applyBorder="1"/>
    <xf numFmtId="0" fontId="0" fillId="6" borderId="5" xfId="0" applyFill="1" applyBorder="1"/>
    <xf numFmtId="0" fontId="0" fillId="7" borderId="4" xfId="0" applyFill="1" applyBorder="1"/>
    <xf numFmtId="0" fontId="0" fillId="7" borderId="5" xfId="0" applyFill="1" applyBorder="1"/>
    <xf numFmtId="0" fontId="3" fillId="8" borderId="7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left" vertical="center" indent="1"/>
    </xf>
    <xf numFmtId="0" fontId="8" fillId="9" borderId="7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center" indent="1"/>
    </xf>
    <xf numFmtId="0" fontId="8" fillId="10" borderId="7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15" fontId="15" fillId="0" borderId="8" xfId="0" applyNumberFormat="1" applyFont="1" applyBorder="1" applyAlignment="1">
      <alignment horizontal="left" vertical="center"/>
    </xf>
    <xf numFmtId="0" fontId="15" fillId="0" borderId="8" xfId="0" applyFont="1" applyBorder="1" applyAlignment="1">
      <alignment horizontal="center" vertical="center"/>
    </xf>
    <xf numFmtId="0" fontId="15" fillId="11" borderId="8" xfId="0" applyFont="1" applyFill="1" applyBorder="1" applyAlignment="1">
      <alignment horizontal="center" vertical="center"/>
    </xf>
    <xf numFmtId="0" fontId="15" fillId="11" borderId="8" xfId="0" applyFont="1" applyFill="1" applyBorder="1" applyAlignment="1">
      <alignment horizontal="left" vertical="center"/>
    </xf>
    <xf numFmtId="0" fontId="0" fillId="11" borderId="0" xfId="0" applyFill="1"/>
    <xf numFmtId="0" fontId="18" fillId="11" borderId="8" xfId="0" applyFont="1" applyFill="1" applyBorder="1" applyAlignment="1">
      <alignment horizontal="left" vertical="center"/>
    </xf>
    <xf numFmtId="0" fontId="20" fillId="3" borderId="0" xfId="0" applyFont="1" applyFill="1" applyAlignment="1">
      <alignment horizontal="center" vertical="center" wrapText="1"/>
    </xf>
    <xf numFmtId="0" fontId="18" fillId="0" borderId="8" xfId="0" applyFont="1" applyBorder="1" applyAlignment="1">
      <alignment horizontal="left" vertical="center"/>
    </xf>
    <xf numFmtId="15" fontId="15" fillId="11" borderId="8" xfId="0" applyNumberFormat="1" applyFont="1" applyFill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15" fontId="15" fillId="0" borderId="10" xfId="0" applyNumberFormat="1" applyFont="1" applyBorder="1" applyAlignment="1">
      <alignment horizontal="left" vertical="center"/>
    </xf>
    <xf numFmtId="0" fontId="19" fillId="8" borderId="7" xfId="0" applyFont="1" applyFill="1" applyBorder="1" applyAlignment="1">
      <alignment horizontal="center" vertical="center" wrapText="1"/>
    </xf>
    <xf numFmtId="0" fontId="15" fillId="11" borderId="9" xfId="0" applyFont="1" applyFill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5" fillId="0" borderId="14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23" fillId="11" borderId="8" xfId="0" applyFont="1" applyFill="1" applyBorder="1" applyAlignment="1">
      <alignment horizontal="left" vertical="center"/>
    </xf>
    <xf numFmtId="0" fontId="0" fillId="3" borderId="2" xfId="0" applyFill="1" applyBorder="1" applyAlignment="1"/>
    <xf numFmtId="0" fontId="0" fillId="4" borderId="2" xfId="0" applyFill="1" applyBorder="1" applyAlignment="1"/>
    <xf numFmtId="0" fontId="0" fillId="5" borderId="2" xfId="0" applyFill="1" applyBorder="1" applyAlignment="1"/>
    <xf numFmtId="0" fontId="0" fillId="6" borderId="2" xfId="0" applyFill="1" applyBorder="1" applyAlignment="1"/>
    <xf numFmtId="0" fontId="0" fillId="7" borderId="2" xfId="0" applyFill="1" applyBorder="1" applyAlignment="1"/>
    <xf numFmtId="0" fontId="6" fillId="2" borderId="0" xfId="0" applyFont="1" applyFill="1" applyAlignment="1"/>
  </cellXfs>
  <cellStyles count="1">
    <cellStyle name="Normal" xfId="0" builtinId="0"/>
  </cellStyles>
  <dxfs count="1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A44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A44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color rgb="FF1F2A44"/>
        <name val="Calibri"/>
        <charset val="1"/>
      </font>
      <fill>
        <patternFill>
          <bgColor rgb="FFF2C94C"/>
        </patternFill>
      </fill>
    </dxf>
    <dxf>
      <font>
        <b/>
        <color rgb="FFFFFFFF"/>
        <name val="Calibri"/>
        <charset val="1"/>
      </font>
      <fill>
        <patternFill>
          <bgColor rgb="FFEB5757"/>
        </patternFill>
      </fill>
    </dxf>
    <dxf>
      <font>
        <b/>
        <color rgb="FFFFFFFF"/>
        <name val="Calibri"/>
        <charset val="1"/>
      </font>
      <fill>
        <patternFill>
          <bgColor rgb="FF27AE60"/>
        </patternFill>
      </fill>
    </dxf>
    <dxf>
      <font>
        <b/>
        <color rgb="FFFFFFFF"/>
        <name val="Calibri"/>
        <charset val="1"/>
      </font>
      <fill>
        <patternFill>
          <bgColor rgb="FF8A94A6"/>
        </patternFill>
      </fill>
    </dxf>
    <dxf>
      <font>
        <b/>
        <color rgb="FFFFFFFF"/>
        <name val="Calibri"/>
        <charset val="1"/>
      </font>
      <fill>
        <patternFill>
          <bgColor rgb="FFF2994A"/>
        </patternFill>
      </fill>
    </dxf>
    <dxf>
      <font>
        <b/>
        <color rgb="FFFFFFFF"/>
        <name val="Calibri"/>
        <charset val="1"/>
      </font>
      <fill>
        <patternFill>
          <bgColor rgb="FF2F6FED"/>
        </patternFill>
      </fill>
    </dxf>
    <dxf>
      <font>
        <b/>
        <color rgb="FFFFFFFF"/>
        <name val="Calibri"/>
        <charset val="1"/>
      </font>
      <fill>
        <patternFill>
          <bgColor rgb="FF27AE6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A398"/>
      <rgbColor rgb="FFB9C3D6"/>
      <rgbColor rgb="FF6E7A8F"/>
      <rgbColor rgb="FF9999FF"/>
      <rgbColor rgb="FF993366"/>
      <rgbColor rgb="FFEFF4FC"/>
      <rgbColor rgb="FFEAF1FB"/>
      <rgbColor rgb="FF660066"/>
      <rgbColor rgb="FFFF8080"/>
      <rgbColor rgb="FF0066CC"/>
      <rgbColor rgb="FFD5DA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1E5EE"/>
      <rgbColor rgb="FFD7E0F0"/>
      <rgbColor rgb="FFFFFF99"/>
      <rgbColor rgb="FF99CCFF"/>
      <rgbColor rgb="FFFF99CC"/>
      <rgbColor rgb="FFCC99FF"/>
      <rgbColor rgb="FFFFCC99"/>
      <rgbColor rgb="FF2F6FED"/>
      <rgbColor rgb="FF33CCCC"/>
      <rgbColor rgb="FF99CC00"/>
      <rgbColor rgb="FFF2C94C"/>
      <rgbColor rgb="FFF2994A"/>
      <rgbColor rgb="FFEB5757"/>
      <rgbColor rgb="FF5B6577"/>
      <rgbColor rgb="FF8A94A6"/>
      <rgbColor rgb="FF003366"/>
      <rgbColor rgb="FF27AE60"/>
      <rgbColor rgb="FF003300"/>
      <rgbColor rgb="FF333300"/>
      <rgbColor rgb="FF993300"/>
      <rgbColor rgb="FF993366"/>
      <rgbColor rgb="FF27385C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Tracker" displayName="ProjectTracker" ref="B1:S341" totalsRowShown="0">
  <autoFilter ref="B1:S341" xr:uid="{00000000-0009-0000-0100-000001000000}"/>
  <tableColumns count="18">
    <tableColumn id="1" xr3:uid="{00000000-0010-0000-0000-000001000000}" name="Client Name"/>
    <tableColumn id="2" xr3:uid="{00000000-0010-0000-0000-000002000000}" name="Type of Audit"/>
    <tableColumn id="3" xr3:uid="{00000000-0010-0000-0000-000003000000}" name="Auditor"/>
    <tableColumn id="4" xr3:uid="{46380B15-85DA-404C-9CE7-FEF4950F3C79}" name="Cert-IN ID" dataDxfId="11"/>
    <tableColumn id="5" xr3:uid="{00000000-0010-0000-0000-000005000000}" name="Doc ID No." dataDxfId="10"/>
    <tableColumn id="6" xr3:uid="{00000000-0010-0000-0000-000006000000}" name="Project Status" dataDxfId="9"/>
    <tableColumn id="7" xr3:uid="{00000000-0010-0000-0000-000007000000}" name="Category" dataDxfId="8"/>
    <tableColumn id="18" xr3:uid="{06E3170E-418F-4CFF-B405-8287784A489D}" name="Description" dataDxfId="7"/>
    <tableColumn id="8" xr3:uid="{00000000-0010-0000-0000-000008000000}" name="BD"/>
    <tableColumn id="9" xr3:uid="{00000000-0010-0000-0000-000009000000}" name="Created Date"/>
    <tableColumn id="10" xr3:uid="{00000000-0010-0000-0000-00000A000000}" name="Initial Gap Assessment Report Release Date" dataDxfId="6"/>
    <tableColumn id="11" xr3:uid="{00000000-0010-0000-0000-00000B000000}" name="Metadata of Initial Gap Assessment Report" dataDxfId="5"/>
    <tableColumn id="12" xr3:uid="{00000000-0010-0000-0000-00000C000000}" name="Closure Report Release Date" dataDxfId="4"/>
    <tableColumn id="13" xr3:uid="{00000000-0010-0000-0000-00000D000000}" name="Metadata of Closure Report" dataDxfId="3"/>
    <tableColumn id="14" xr3:uid="{00000000-0010-0000-0000-00000E000000}" name="Payment Confirmation"/>
    <tableColumn id="15" xr3:uid="{00000000-0010-0000-0000-00000F000000}" name="Report Prepared By" dataDxfId="2"/>
    <tableColumn id="16" xr3:uid="{00000000-0010-0000-0000-000010000000}" name="Report Reviewed By" dataDxfId="1"/>
    <tableColumn id="17" xr3:uid="{00000000-0010-0000-0000-000011000000}" name="Remark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76"/>
  <sheetViews>
    <sheetView showGridLines="0" topLeftCell="B1" zoomScaleNormal="100" workbookViewId="0">
      <selection activeCell="A39" sqref="A39"/>
    </sheetView>
  </sheetViews>
  <sheetFormatPr defaultColWidth="8.5703125" defaultRowHeight="14.45"/>
  <cols>
    <col min="1" max="1" width="3" customWidth="1"/>
    <col min="2" max="2" width="39.85546875" customWidth="1"/>
    <col min="3" max="3" width="15" customWidth="1"/>
    <col min="4" max="4" width="9.140625" customWidth="1"/>
    <col min="5" max="6" width="15" customWidth="1"/>
    <col min="7" max="7" width="10.42578125" customWidth="1"/>
    <col min="8" max="9" width="15" customWidth="1"/>
    <col min="10" max="10" width="3" customWidth="1"/>
    <col min="11" max="12" width="15" customWidth="1"/>
    <col min="13" max="13" width="3" customWidth="1"/>
    <col min="14" max="15" width="15" customWidth="1"/>
    <col min="16" max="16" width="3" customWidth="1"/>
    <col min="28" max="28" width="13" hidden="1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AB1">
        <v>0</v>
      </c>
    </row>
    <row r="2" spans="1:28" ht="30" customHeight="1">
      <c r="A2" s="1"/>
      <c r="B2" s="57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1"/>
      <c r="AB2">
        <f>IF('Project Tracker'!D2="","",IF(COUNTIF('Project Tracker'!$D$2:D2,'Project Tracker'!D2)=1,MAX($AB$1:AB1)+1,""))</f>
        <v>1</v>
      </c>
    </row>
    <row r="3" spans="1:28" ht="9" customHeight="1">
      <c r="A3" s="1"/>
      <c r="B3" s="58" t="s">
        <v>1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1"/>
      <c r="AB3">
        <f>IF('Project Tracker'!D3="","",IF(COUNTIF('Project Tracker'!$D$2:D3,'Project Tracker'!D3)=1,MAX($AB$1:AB2)+1,""))</f>
        <v>2</v>
      </c>
    </row>
    <row r="4" spans="1:28" ht="6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"/>
      <c r="AB4" t="str">
        <f>IF('Project Tracker'!D4="","",IF(COUNTIF('Project Tracker'!$D$2:D4,'Project Tracker'!D4)=1,MAX($AB$1:AB3)+1,""))</f>
        <v/>
      </c>
    </row>
    <row r="5" spans="1:28" ht="7.5" customHeight="1">
      <c r="A5" s="1"/>
      <c r="B5" s="71"/>
      <c r="C5" s="71"/>
      <c r="D5" s="1"/>
      <c r="E5" s="72"/>
      <c r="F5" s="72"/>
      <c r="G5" s="1"/>
      <c r="H5" s="73"/>
      <c r="I5" s="73"/>
      <c r="J5" s="1"/>
      <c r="K5" s="74"/>
      <c r="L5" s="74"/>
      <c r="M5" s="1"/>
      <c r="N5" s="75"/>
      <c r="O5" s="75"/>
      <c r="P5" s="1"/>
      <c r="AB5" t="str">
        <f>IF('Project Tracker'!D7="","",IF(COUNTIF('Project Tracker'!$D$2:D7,'Project Tracker'!D7)=1,MAX($AB$1:AB4)+1,""))</f>
        <v/>
      </c>
    </row>
    <row r="6" spans="1:28" ht="15" customHeight="1">
      <c r="A6" s="1"/>
      <c r="B6" s="59" t="s">
        <v>2</v>
      </c>
      <c r="C6" s="59"/>
      <c r="D6" s="1"/>
      <c r="E6" s="60" t="s">
        <v>3</v>
      </c>
      <c r="F6" s="60"/>
      <c r="G6" s="1"/>
      <c r="H6" s="61" t="s">
        <v>4</v>
      </c>
      <c r="I6" s="61"/>
      <c r="J6" s="1"/>
      <c r="K6" s="62" t="s">
        <v>5</v>
      </c>
      <c r="L6" s="62"/>
      <c r="M6" s="1"/>
      <c r="N6" s="63" t="s">
        <v>6</v>
      </c>
      <c r="O6" s="63"/>
      <c r="P6" s="1"/>
      <c r="AB6" t="str">
        <f>IF('Project Tracker'!D8="","",IF(COUNTIF('Project Tracker'!$D$2:D8,'Project Tracker'!D8)=1,MAX($AB$1:AB5)+1,""))</f>
        <v/>
      </c>
    </row>
    <row r="7" spans="1:28" ht="33.75" customHeight="1">
      <c r="A7" s="1"/>
      <c r="B7" s="65">
        <f>COUNTA(ProjectTracker[Client Name])</f>
        <v>339</v>
      </c>
      <c r="C7" s="65"/>
      <c r="D7" s="1"/>
      <c r="E7" s="66">
        <f>COUNTIF(ProjectTracker[Project Status],"Completed")</f>
        <v>149</v>
      </c>
      <c r="F7" s="66"/>
      <c r="G7" s="1"/>
      <c r="H7" s="67">
        <f>COUNTIF(ProjectTracker[Project Status],"In Progress")</f>
        <v>174</v>
      </c>
      <c r="I7" s="67"/>
      <c r="J7" s="1"/>
      <c r="K7" s="68">
        <f>COUNTIF(ProjectTracker[Project Status],"Hold")</f>
        <v>7</v>
      </c>
      <c r="L7" s="68"/>
      <c r="M7" s="1"/>
      <c r="N7" s="69">
        <f>COUNTIF(ProjectTracker[Project Status],"Not Started")</f>
        <v>9</v>
      </c>
      <c r="O7" s="69"/>
      <c r="P7" s="1"/>
      <c r="AB7">
        <f>IF('Project Tracker'!D9="","",IF(COUNTIF('Project Tracker'!$D$2:D9,'Project Tracker'!D9)=1,MAX($AB$1:AB6)+1,""))</f>
        <v>3</v>
      </c>
    </row>
    <row r="8" spans="1:28" ht="15" customHeight="1">
      <c r="A8" s="1"/>
      <c r="B8" s="65"/>
      <c r="C8" s="65"/>
      <c r="D8" s="1"/>
      <c r="E8" s="66"/>
      <c r="F8" s="66"/>
      <c r="G8" s="1"/>
      <c r="H8" s="67"/>
      <c r="I8" s="67"/>
      <c r="J8" s="1"/>
      <c r="K8" s="68"/>
      <c r="L8" s="68"/>
      <c r="M8" s="1"/>
      <c r="N8" s="69"/>
      <c r="O8" s="69"/>
      <c r="P8" s="1"/>
      <c r="AB8">
        <f>IF('Project Tracker'!D10="","",IF(COUNTIF('Project Tracker'!$D$2:D10,'Project Tracker'!D10)=1,MAX($AB$1:AB7)+1,""))</f>
        <v>4</v>
      </c>
    </row>
    <row r="9" spans="1:28" ht="15" customHeight="1">
      <c r="A9" s="1"/>
      <c r="B9" s="3"/>
      <c r="C9" s="4"/>
      <c r="D9" s="1"/>
      <c r="E9" s="5"/>
      <c r="F9" s="6"/>
      <c r="G9" s="1"/>
      <c r="H9" s="7"/>
      <c r="I9" s="8"/>
      <c r="J9" s="1"/>
      <c r="K9" s="9"/>
      <c r="L9" s="10"/>
      <c r="M9" s="1"/>
      <c r="N9" s="11"/>
      <c r="O9" s="12"/>
      <c r="P9" s="1"/>
      <c r="AB9">
        <f>IF('Project Tracker'!D11="","",IF(COUNTIF('Project Tracker'!$D$2:D11,'Project Tracker'!D11)=1,MAX($AB$1:AB8)+1,""))</f>
        <v>5</v>
      </c>
    </row>
    <row r="10" spans="1:28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AB10" t="str">
        <f>IF('Project Tracker'!D12="","",IF(COUNTIF('Project Tracker'!$D$2:D12,'Project Tracker'!D12)=1,MAX($AB$1:AB9)+1,""))</f>
        <v/>
      </c>
    </row>
    <row r="11" spans="1:28" ht="27.6" customHeight="1">
      <c r="A11" s="1"/>
      <c r="B11" s="64" t="s">
        <v>7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1"/>
      <c r="AB11" t="str">
        <f>IF('Project Tracker'!D13="","",IF(COUNTIF('Project Tracker'!$D$2:D13,'Project Tracker'!D13)=1,MAX($AB$1:AB10)+1,""))</f>
        <v/>
      </c>
    </row>
    <row r="12" spans="1:28" ht="15.6" hidden="1" customHeight="1">
      <c r="A12" s="1"/>
      <c r="B12" s="76" t="s">
        <v>8</v>
      </c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1"/>
      <c r="AB12" t="str">
        <f>IF('Project Tracker'!D14="","",IF(COUNTIF('Project Tracker'!$D$2:D14,'Project Tracker'!D14)=1,MAX($AB$1:AB11)+1,""))</f>
        <v/>
      </c>
    </row>
    <row r="13" spans="1:28" ht="7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AB13" t="str">
        <f>IF('Project Tracker'!D15="","",IF(COUNTIF('Project Tracker'!$D$2:D326,'Project Tracker'!D15)=1,MAX($AB$1:AB12)+1,""))</f>
        <v/>
      </c>
    </row>
    <row r="14" spans="1:28" ht="25.5" customHeight="1">
      <c r="A14" s="1"/>
      <c r="B14" s="46" t="s">
        <v>9</v>
      </c>
      <c r="C14" s="14" t="s">
        <v>10</v>
      </c>
      <c r="D14" s="15" t="s">
        <v>11</v>
      </c>
      <c r="E14" s="16" t="s">
        <v>12</v>
      </c>
      <c r="F14" s="17" t="s">
        <v>13</v>
      </c>
      <c r="G14" s="13" t="s">
        <v>14</v>
      </c>
      <c r="H14" s="1"/>
      <c r="I14" s="1"/>
      <c r="J14" s="1"/>
      <c r="K14" s="1"/>
      <c r="L14" s="1"/>
      <c r="M14" s="1"/>
      <c r="N14" s="1"/>
      <c r="O14" s="1"/>
      <c r="P14" s="1"/>
      <c r="AB14" t="str">
        <f>IF('Project Tracker'!D16="","",IF(COUNTIF('Project Tracker'!$D$2:D16,'Project Tracker'!D16)=1,MAX($AB$1:AB13)+1,""))</f>
        <v/>
      </c>
    </row>
    <row r="15" spans="1:28" ht="15" customHeight="1">
      <c r="A15" s="1"/>
      <c r="B15" s="18" t="str">
        <f>IFERROR(INDEX('Project Tracker'!$D$2:$D$5040,MATCH(1,$AB$2:$AB$5000,0)),"")</f>
        <v>Dimple</v>
      </c>
      <c r="C15" s="19">
        <f>IF($B15="","",COUNTIFS(ProjectTracker[Auditor],$B15,ProjectTracker[Project Status],"Not Started"))</f>
        <v>0</v>
      </c>
      <c r="D15" s="20">
        <f>IF($B15="","",COUNTIFS(ProjectTracker[Auditor],$B15,ProjectTracker[Project Status],"In Progress"))</f>
        <v>4</v>
      </c>
      <c r="E15" s="21">
        <f>IF($B15="","",COUNTIFS(ProjectTracker[Auditor],$B15,ProjectTracker[Project Status],"Hold"))</f>
        <v>1</v>
      </c>
      <c r="F15" s="22">
        <f>IF($B15="","",COUNTIFS(ProjectTracker[Auditor],$B15,ProjectTracker[Project Status],"Completed"))</f>
        <v>19</v>
      </c>
      <c r="G15" s="23">
        <f t="shared" ref="G15:G46" si="0">IF($B15="","",SUM(C15:F15))</f>
        <v>24</v>
      </c>
      <c r="H15" s="1"/>
      <c r="I15" s="1"/>
      <c r="J15" s="1"/>
      <c r="K15" s="1"/>
      <c r="L15" s="1"/>
      <c r="M15" s="1"/>
      <c r="N15" s="1"/>
      <c r="O15" s="1"/>
      <c r="P15" s="1"/>
      <c r="AB15">
        <f>IF('Project Tracker'!D17="","",IF(COUNTIF('Project Tracker'!$D$2:D17,'Project Tracker'!D17)=1,MAX($AB$1:AB14)+1,""))</f>
        <v>6</v>
      </c>
    </row>
    <row r="16" spans="1:28" ht="15" customHeight="1">
      <c r="A16" s="1"/>
      <c r="B16" s="24" t="str">
        <f>IFERROR(INDEX('Project Tracker'!$D$2:$D$5040,MATCH(2,$AB$2:$AB$5000,0)),"")</f>
        <v>Gautam Patidar</v>
      </c>
      <c r="C16" s="25">
        <f>IF($B16="","",COUNTIFS(ProjectTracker[Auditor],$B16,ProjectTracker[Project Status],"Not Started"))</f>
        <v>0</v>
      </c>
      <c r="D16" s="26">
        <f>IF($B16="","",COUNTIFS(ProjectTracker[Auditor],$B16,ProjectTracker[Project Status],"In Progress"))</f>
        <v>6</v>
      </c>
      <c r="E16" s="27">
        <f>IF($B16="","",COUNTIFS(ProjectTracker[Auditor],$B16,ProjectTracker[Project Status],"Hold"))</f>
        <v>0</v>
      </c>
      <c r="F16" s="28">
        <f>IF($B16="","",COUNTIFS(ProjectTracker[Auditor],$B16,ProjectTracker[Project Status],"Completed"))</f>
        <v>2</v>
      </c>
      <c r="G16" s="29">
        <f t="shared" si="0"/>
        <v>8</v>
      </c>
      <c r="H16" s="1"/>
      <c r="I16" s="1"/>
      <c r="J16" s="1"/>
      <c r="K16" s="1"/>
      <c r="L16" s="1"/>
      <c r="M16" s="1"/>
      <c r="N16" s="1"/>
      <c r="O16" s="1"/>
      <c r="P16" s="1"/>
      <c r="AB16" t="str">
        <f>IF('Project Tracker'!D18="","",IF(COUNTIF('Project Tracker'!$D$2:D18,'Project Tracker'!D18)=1,MAX($AB$1:AB15)+1,""))</f>
        <v/>
      </c>
    </row>
    <row r="17" spans="1:28" ht="15" customHeight="1">
      <c r="A17" s="1"/>
      <c r="B17" s="18" t="str">
        <f>IFERROR(INDEX('Project Tracker'!$D$2:$D$5040,MATCH(3,$AB$2:$AB$5000,0)),"")</f>
        <v>Gautam Patidar</v>
      </c>
      <c r="C17" s="19">
        <f>IF($B17="","",COUNTIFS(ProjectTracker[Auditor],$B17,ProjectTracker[Project Status],"Not Started"))</f>
        <v>0</v>
      </c>
      <c r="D17" s="20">
        <f>IF($B17="","",COUNTIFS(ProjectTracker[Auditor],$B17,ProjectTracker[Project Status],"In Progress"))</f>
        <v>6</v>
      </c>
      <c r="E17" s="21">
        <f>IF($B17="","",COUNTIFS(ProjectTracker[Auditor],$B17,ProjectTracker[Project Status],"Hold"))</f>
        <v>0</v>
      </c>
      <c r="F17" s="22">
        <f>IF($B17="","",COUNTIFS(ProjectTracker[Auditor],$B17,ProjectTracker[Project Status],"Completed"))</f>
        <v>2</v>
      </c>
      <c r="G17" s="23">
        <f t="shared" si="0"/>
        <v>8</v>
      </c>
      <c r="H17" s="1"/>
      <c r="I17" s="1"/>
      <c r="J17" s="1"/>
      <c r="K17" s="1"/>
      <c r="L17" s="1"/>
      <c r="M17" s="1"/>
      <c r="N17" s="1"/>
      <c r="O17" s="1"/>
      <c r="P17" s="1"/>
      <c r="AB17" t="str">
        <f>IF('Project Tracker'!D19="","",IF(COUNTIF('Project Tracker'!$D$2:D19,'Project Tracker'!D19)=1,MAX($AB$1:AB16)+1,""))</f>
        <v/>
      </c>
    </row>
    <row r="18" spans="1:28" ht="15" customHeight="1">
      <c r="A18" s="1"/>
      <c r="B18" s="24" t="str">
        <f>IFERROR(INDEX('Project Tracker'!$D$2:$D$5040,MATCH(4,$AB$2:$AB$5000,0)),"")</f>
        <v>Gautam Patidar</v>
      </c>
      <c r="C18" s="25">
        <f>IF($B18="","",COUNTIFS(ProjectTracker[Auditor],$B18,ProjectTracker[Project Status],"Not Started"))</f>
        <v>0</v>
      </c>
      <c r="D18" s="26">
        <f>IF($B18="","",COUNTIFS(ProjectTracker[Auditor],$B18,ProjectTracker[Project Status],"In Progress"))</f>
        <v>6</v>
      </c>
      <c r="E18" s="27">
        <f>IF($B18="","",COUNTIFS(ProjectTracker[Auditor],$B18,ProjectTracker[Project Status],"Hold"))</f>
        <v>0</v>
      </c>
      <c r="F18" s="28">
        <f>IF($B18="","",COUNTIFS(ProjectTracker[Auditor],$B18,ProjectTracker[Project Status],"Completed"))</f>
        <v>2</v>
      </c>
      <c r="G18" s="29">
        <f t="shared" si="0"/>
        <v>8</v>
      </c>
      <c r="H18" s="1"/>
      <c r="I18" s="1"/>
      <c r="J18" s="1"/>
      <c r="K18" s="1"/>
      <c r="L18" s="1"/>
      <c r="M18" s="1"/>
      <c r="N18" s="1"/>
      <c r="O18" s="1"/>
      <c r="P18" s="1"/>
      <c r="AB18">
        <f>IF('Project Tracker'!D20="","",IF(COUNTIF('Project Tracker'!$D$2:D20,'Project Tracker'!D20)=1,MAX($AB$1:AB17)+1,""))</f>
        <v>7</v>
      </c>
    </row>
    <row r="19" spans="1:28" ht="15" customHeight="1">
      <c r="A19" s="1"/>
      <c r="B19" s="18" t="str">
        <f>IFERROR(INDEX('Project Tracker'!$D$2:$D$5040,MATCH(5,$AB$2:$AB$5000,0)),"")</f>
        <v>Akash</v>
      </c>
      <c r="C19" s="19">
        <f>IF($B19="","",COUNTIFS(ProjectTracker[Auditor],$B19,ProjectTracker[Project Status],"Not Started"))</f>
        <v>0</v>
      </c>
      <c r="D19" s="20">
        <f>IF($B19="","",COUNTIFS(ProjectTracker[Auditor],$B19,ProjectTracker[Project Status],"In Progress"))</f>
        <v>12</v>
      </c>
      <c r="E19" s="21">
        <f>IF($B19="","",COUNTIFS(ProjectTracker[Auditor],$B19,ProjectTracker[Project Status],"Hold"))</f>
        <v>0</v>
      </c>
      <c r="F19" s="22">
        <f>IF($B19="","",COUNTIFS(ProjectTracker[Auditor],$B19,ProjectTracker[Project Status],"Completed"))</f>
        <v>4</v>
      </c>
      <c r="G19" s="23">
        <f t="shared" si="0"/>
        <v>16</v>
      </c>
      <c r="H19" s="1"/>
      <c r="I19" s="1"/>
      <c r="J19" s="1"/>
      <c r="K19" s="1"/>
      <c r="L19" s="1"/>
      <c r="M19" s="1"/>
      <c r="N19" s="1"/>
      <c r="O19" s="1"/>
      <c r="P19" s="1"/>
      <c r="AB19" t="str">
        <f>IF('Project Tracker'!D21="","",IF(COUNTIF('Project Tracker'!$D$2:D21,'Project Tracker'!D21)=1,MAX($AB$1:AB18)+1,""))</f>
        <v/>
      </c>
    </row>
    <row r="20" spans="1:28" ht="15" customHeight="1">
      <c r="A20" s="1"/>
      <c r="B20" s="24" t="str">
        <f>IFERROR(INDEX('Project Tracker'!$D$2:$D$5040,MATCH(6,$AB$2:$AB$5000,0)),"")</f>
        <v>Jayneel</v>
      </c>
      <c r="C20" s="25">
        <f>IF($B20="","",COUNTIFS(ProjectTracker[Auditor],$B20,ProjectTracker[Project Status],"Not Started"))</f>
        <v>0</v>
      </c>
      <c r="D20" s="26">
        <f>IF($B20="","",COUNTIFS(ProjectTracker[Auditor],$B20,ProjectTracker[Project Status],"In Progress"))</f>
        <v>9</v>
      </c>
      <c r="E20" s="27">
        <f>IF($B20="","",COUNTIFS(ProjectTracker[Auditor],$B20,ProjectTracker[Project Status],"Hold"))</f>
        <v>0</v>
      </c>
      <c r="F20" s="28">
        <f>IF($B20="","",COUNTIFS(ProjectTracker[Auditor],$B20,ProjectTracker[Project Status],"Completed"))</f>
        <v>0</v>
      </c>
      <c r="G20" s="29">
        <f t="shared" si="0"/>
        <v>9</v>
      </c>
      <c r="H20" s="1"/>
      <c r="I20" s="1"/>
      <c r="J20" s="1"/>
      <c r="K20" s="1"/>
      <c r="L20" s="1"/>
      <c r="M20" s="1"/>
      <c r="N20" s="1"/>
      <c r="O20" s="1"/>
      <c r="P20" s="1"/>
      <c r="AB20" t="str">
        <f>IF('Project Tracker'!D22="","",IF(COUNTIF('Project Tracker'!$D$2:D22,'Project Tracker'!D22)=1,MAX($AB$1:AB19)+1,""))</f>
        <v/>
      </c>
    </row>
    <row r="21" spans="1:28" ht="15" customHeight="1">
      <c r="A21" s="1"/>
      <c r="B21" s="18" t="str">
        <f>IFERROR(INDEX('Project Tracker'!$D$2:$D$5040,MATCH(7,$AB$2:$AB$5000,0)),"")</f>
        <v>Anushree</v>
      </c>
      <c r="C21" s="19">
        <f>IF($B21="","",COUNTIFS(ProjectTracker[Auditor],$B21,ProjectTracker[Project Status],"Not Started"))</f>
        <v>0</v>
      </c>
      <c r="D21" s="20">
        <f>IF($B21="","",COUNTIFS(ProjectTracker[Auditor],$B21,ProjectTracker[Project Status],"In Progress"))</f>
        <v>4</v>
      </c>
      <c r="E21" s="21">
        <f>IF($B21="","",COUNTIFS(ProjectTracker[Auditor],$B21,ProjectTracker[Project Status],"Hold"))</f>
        <v>0</v>
      </c>
      <c r="F21" s="22">
        <f>IF($B21="","",COUNTIFS(ProjectTracker[Auditor],$B21,ProjectTracker[Project Status],"Completed"))</f>
        <v>9</v>
      </c>
      <c r="G21" s="23">
        <f t="shared" si="0"/>
        <v>13</v>
      </c>
      <c r="H21" s="1"/>
      <c r="I21" s="1"/>
      <c r="J21" s="1"/>
      <c r="K21" s="1"/>
      <c r="L21" s="1"/>
      <c r="M21" s="1"/>
      <c r="N21" s="1"/>
      <c r="O21" s="1"/>
      <c r="P21" s="1"/>
      <c r="AB21" t="str">
        <f>IF('Project Tracker'!D23="","",IF(COUNTIF('Project Tracker'!$D$2:D23,'Project Tracker'!D23)=1,MAX($AB$1:AB20)+1,""))</f>
        <v/>
      </c>
    </row>
    <row r="22" spans="1:28" ht="15" customHeight="1">
      <c r="A22" s="1"/>
      <c r="B22" s="24" t="str">
        <f>IFERROR(INDEX('Project Tracker'!$D$2:$D$5040,MATCH(8,$AB$2:$AB$5000,0)),"")</f>
        <v>Pratham</v>
      </c>
      <c r="C22" s="25">
        <f>IF($B22="","",COUNTIFS(ProjectTracker[Auditor],$B22,ProjectTracker[Project Status],"Not Started"))</f>
        <v>0</v>
      </c>
      <c r="D22" s="26">
        <f>IF($B22="","",COUNTIFS(ProjectTracker[Auditor],$B22,ProjectTracker[Project Status],"In Progress"))</f>
        <v>3</v>
      </c>
      <c r="E22" s="27">
        <f>IF($B22="","",COUNTIFS(ProjectTracker[Auditor],$B22,ProjectTracker[Project Status],"Hold"))</f>
        <v>1</v>
      </c>
      <c r="F22" s="28">
        <f>IF($B22="","",COUNTIFS(ProjectTracker[Auditor],$B22,ProjectTracker[Project Status],"Completed"))</f>
        <v>15</v>
      </c>
      <c r="G22" s="29">
        <f t="shared" si="0"/>
        <v>19</v>
      </c>
      <c r="H22" s="1"/>
      <c r="I22" s="1"/>
      <c r="J22" s="1"/>
      <c r="K22" s="1"/>
      <c r="L22" s="1"/>
      <c r="M22" s="1"/>
      <c r="N22" s="1"/>
      <c r="O22" s="1"/>
      <c r="P22" s="1"/>
      <c r="AB22" t="str">
        <f>IF('Project Tracker'!D24="","",IF(COUNTIF('Project Tracker'!$D$2:D24,'Project Tracker'!D24)=1,MAX($AB$1:AB21)+1,""))</f>
        <v/>
      </c>
    </row>
    <row r="23" spans="1:28" ht="15" customHeight="1">
      <c r="A23" s="1"/>
      <c r="B23" s="18" t="str">
        <f>IFERROR(INDEX('Project Tracker'!$D$2:$D$5040,MATCH(9,$AB$2:$AB$5000,0)),"")</f>
        <v>Gautam Patidar</v>
      </c>
      <c r="C23" s="19">
        <f>IF($B23="","",COUNTIFS(ProjectTracker[Auditor],$B23,ProjectTracker[Project Status],"Not Started"))</f>
        <v>0</v>
      </c>
      <c r="D23" s="20">
        <f>IF($B23="","",COUNTIFS(ProjectTracker[Auditor],$B23,ProjectTracker[Project Status],"In Progress"))</f>
        <v>6</v>
      </c>
      <c r="E23" s="21">
        <f>IF($B23="","",COUNTIFS(ProjectTracker[Auditor],$B23,ProjectTracker[Project Status],"Hold"))</f>
        <v>0</v>
      </c>
      <c r="F23" s="22">
        <f>IF($B23="","",COUNTIFS(ProjectTracker[Auditor],$B23,ProjectTracker[Project Status],"Completed"))</f>
        <v>2</v>
      </c>
      <c r="G23" s="23">
        <f t="shared" si="0"/>
        <v>8</v>
      </c>
      <c r="H23" s="1"/>
      <c r="I23" s="1"/>
      <c r="J23" s="1"/>
      <c r="K23" s="1"/>
      <c r="L23" s="1"/>
      <c r="M23" s="1"/>
      <c r="N23" s="1"/>
      <c r="O23" s="1"/>
      <c r="P23" s="1"/>
      <c r="AB23" t="str">
        <f>IF('Project Tracker'!D25="","",IF(COUNTIF('Project Tracker'!$D$2:D25,'Project Tracker'!D25)=1,MAX($AB$1:AB22)+1,""))</f>
        <v/>
      </c>
    </row>
    <row r="24" spans="1:28" ht="15" customHeight="1">
      <c r="A24" s="1"/>
      <c r="B24" s="24" t="str">
        <f>IFERROR(INDEX('Project Tracker'!$D$2:$D$5040,MATCH(10,$AB$2:$AB$5000,0)),"")</f>
        <v>Dimple</v>
      </c>
      <c r="C24" s="25">
        <f>IF($B24="","",COUNTIFS(ProjectTracker[Auditor],$B24,ProjectTracker[Project Status],"Not Started"))</f>
        <v>0</v>
      </c>
      <c r="D24" s="26">
        <f>IF($B24="","",COUNTIFS(ProjectTracker[Auditor],$B24,ProjectTracker[Project Status],"In Progress"))</f>
        <v>4</v>
      </c>
      <c r="E24" s="27">
        <f>IF($B24="","",COUNTIFS(ProjectTracker[Auditor],$B24,ProjectTracker[Project Status],"Hold"))</f>
        <v>1</v>
      </c>
      <c r="F24" s="28">
        <f>IF($B24="","",COUNTIFS(ProjectTracker[Auditor],$B24,ProjectTracker[Project Status],"Completed"))</f>
        <v>19</v>
      </c>
      <c r="G24" s="29">
        <f t="shared" si="0"/>
        <v>24</v>
      </c>
      <c r="H24" s="1"/>
      <c r="I24" s="1"/>
      <c r="J24" s="1"/>
      <c r="K24" s="1"/>
      <c r="L24" s="1"/>
      <c r="M24" s="1"/>
      <c r="N24" s="1"/>
      <c r="O24" s="1"/>
      <c r="P24" s="1"/>
      <c r="AB24" t="str">
        <f>IF('Project Tracker'!D26="","",IF(COUNTIF('Project Tracker'!$D$2:D26,'Project Tracker'!D26)=1,MAX($AB$1:AB23)+1,""))</f>
        <v/>
      </c>
    </row>
    <row r="25" spans="1:28" ht="15" customHeight="1">
      <c r="A25" s="1"/>
      <c r="B25" s="18" t="str">
        <f>IFERROR(INDEX('Project Tracker'!$D$2:$D$5040,MATCH(11,$AB$2:$AB$5000,0)),"")</f>
        <v>Jayraj</v>
      </c>
      <c r="C25" s="19">
        <f>IF($B25="","",COUNTIFS(ProjectTracker[Auditor],$B25,ProjectTracker[Project Status],"Not Started"))</f>
        <v>0</v>
      </c>
      <c r="D25" s="20">
        <f>IF($B25="","",COUNTIFS(ProjectTracker[Auditor],$B25,ProjectTracker[Project Status],"In Progress"))</f>
        <v>3</v>
      </c>
      <c r="E25" s="21">
        <f>IF($B25="","",COUNTIFS(ProjectTracker[Auditor],$B25,ProjectTracker[Project Status],"Hold"))</f>
        <v>0</v>
      </c>
      <c r="F25" s="22">
        <f>IF($B25="","",COUNTIFS(ProjectTracker[Auditor],$B25,ProjectTracker[Project Status],"Completed"))</f>
        <v>1</v>
      </c>
      <c r="G25" s="23">
        <f t="shared" si="0"/>
        <v>4</v>
      </c>
      <c r="H25" s="1"/>
      <c r="I25" s="1"/>
      <c r="J25" s="1"/>
      <c r="K25" s="1"/>
      <c r="L25" s="1"/>
      <c r="M25" s="1"/>
      <c r="N25" s="1"/>
      <c r="O25" s="1"/>
      <c r="P25" s="1"/>
      <c r="AB25">
        <f>IF('Project Tracker'!D27="","",IF(COUNTIF('Project Tracker'!$D$2:D27,'Project Tracker'!D27)=1,MAX($AB$1:AB24)+1,""))</f>
        <v>8</v>
      </c>
    </row>
    <row r="26" spans="1:28" ht="15" customHeight="1">
      <c r="A26" s="1"/>
      <c r="B26" s="24" t="str">
        <f>IFERROR(INDEX('Project Tracker'!$D$2:$D$5040,MATCH(12,$AB$2:$AB$5000,0)),"")</f>
        <v>Jayneel Chokshi</v>
      </c>
      <c r="C26" s="25">
        <f>IF($B26="","",COUNTIFS(ProjectTracker[Auditor],$B26,ProjectTracker[Project Status],"Not Started"))</f>
        <v>0</v>
      </c>
      <c r="D26" s="26">
        <f>IF($B26="","",COUNTIFS(ProjectTracker[Auditor],$B26,ProjectTracker[Project Status],"In Progress"))</f>
        <v>3</v>
      </c>
      <c r="E26" s="27">
        <f>IF($B26="","",COUNTIFS(ProjectTracker[Auditor],$B26,ProjectTracker[Project Status],"Hold"))</f>
        <v>0</v>
      </c>
      <c r="F26" s="28">
        <f>IF($B26="","",COUNTIFS(ProjectTracker[Auditor],$B26,ProjectTracker[Project Status],"Completed"))</f>
        <v>8</v>
      </c>
      <c r="G26" s="29">
        <f t="shared" si="0"/>
        <v>11</v>
      </c>
      <c r="H26" s="1"/>
      <c r="I26" s="1"/>
      <c r="J26" s="1"/>
      <c r="K26" s="1"/>
      <c r="L26" s="1"/>
      <c r="M26" s="1"/>
      <c r="N26" s="1"/>
      <c r="O26" s="1"/>
      <c r="P26" s="1"/>
      <c r="AB26">
        <f>IF('Project Tracker'!D28="","",IF(COUNTIF('Project Tracker'!$D$2:D28,'Project Tracker'!D28)=1,MAX($AB$1:AB25)+1,""))</f>
        <v>9</v>
      </c>
    </row>
    <row r="27" spans="1:28" ht="15" customHeight="1">
      <c r="A27" s="1"/>
      <c r="B27" s="18" t="str">
        <f>IFERROR(INDEX('Project Tracker'!$D$2:$D$5040,MATCH(13,$AB$2:$AB$5000,0)),"")</f>
        <v>Gautam Patidar , Anushree pillai, Aditya katkar</v>
      </c>
      <c r="C27" s="19">
        <f>IF($B27="","",COUNTIFS(ProjectTracker[Auditor],$B27,ProjectTracker[Project Status],"Not Started"))</f>
        <v>0</v>
      </c>
      <c r="D27" s="20">
        <f>IF($B27="","",COUNTIFS(ProjectTracker[Auditor],$B27,ProjectTracker[Project Status],"In Progress"))</f>
        <v>0</v>
      </c>
      <c r="E27" s="21">
        <f>IF($B27="","",COUNTIFS(ProjectTracker[Auditor],$B27,ProjectTracker[Project Status],"Hold"))</f>
        <v>0</v>
      </c>
      <c r="F27" s="22">
        <f>IF($B27="","",COUNTIFS(ProjectTracker[Auditor],$B27,ProjectTracker[Project Status],"Completed"))</f>
        <v>3</v>
      </c>
      <c r="G27" s="23">
        <f t="shared" si="0"/>
        <v>3</v>
      </c>
      <c r="H27" s="1"/>
      <c r="I27" s="1"/>
      <c r="J27" s="1"/>
      <c r="K27" s="1"/>
      <c r="L27" s="1"/>
      <c r="M27" s="1"/>
      <c r="N27" s="1"/>
      <c r="O27" s="1"/>
      <c r="P27" s="1"/>
      <c r="AB27" t="str">
        <f>IF('Project Tracker'!D29="","",IF(COUNTIF('Project Tracker'!$D$2:D29,'Project Tracker'!D29)=1,MAX($AB$1:AB26)+1,""))</f>
        <v/>
      </c>
    </row>
    <row r="28" spans="1:28" ht="15" customHeight="1">
      <c r="A28" s="1"/>
      <c r="B28" s="24" t="str">
        <f>IFERROR(INDEX('Project Tracker'!$D$2:$D$5040,MATCH(14,$AB$2:$AB$5000,0)),"")</f>
        <v>Jayraj</v>
      </c>
      <c r="C28" s="25">
        <f>IF($B28="","",COUNTIFS(ProjectTracker[Auditor],$B28,ProjectTracker[Project Status],"Not Started"))</f>
        <v>0</v>
      </c>
      <c r="D28" s="26">
        <f>IF($B28="","",COUNTIFS(ProjectTracker[Auditor],$B28,ProjectTracker[Project Status],"In Progress"))</f>
        <v>3</v>
      </c>
      <c r="E28" s="27">
        <f>IF($B28="","",COUNTIFS(ProjectTracker[Auditor],$B28,ProjectTracker[Project Status],"Hold"))</f>
        <v>0</v>
      </c>
      <c r="F28" s="28">
        <f>IF($B28="","",COUNTIFS(ProjectTracker[Auditor],$B28,ProjectTracker[Project Status],"Completed"))</f>
        <v>1</v>
      </c>
      <c r="G28" s="29">
        <f t="shared" si="0"/>
        <v>4</v>
      </c>
      <c r="H28" s="1"/>
      <c r="I28" s="1"/>
      <c r="J28" s="1"/>
      <c r="K28" s="1"/>
      <c r="L28" s="1"/>
      <c r="M28" s="1"/>
      <c r="N28" s="1"/>
      <c r="O28" s="1"/>
      <c r="P28" s="1"/>
      <c r="AB28" t="str">
        <f>IF('Project Tracker'!D30="","",IF(COUNTIF('Project Tracker'!$D$2:D30,'Project Tracker'!D30)=1,MAX($AB$1:AB27)+1,""))</f>
        <v/>
      </c>
    </row>
    <row r="29" spans="1:28" ht="15" customHeight="1">
      <c r="A29" s="1"/>
      <c r="B29" s="18" t="str">
        <f>IFERROR(INDEX('Project Tracker'!$D$2:$D$5040,MATCH(15,$AB$2:$AB$5000,0)),"")</f>
        <v>Jayraj, Anushree</v>
      </c>
      <c r="C29" s="19">
        <f>IF($B29="","",COUNTIFS(ProjectTracker[Auditor],$B29,ProjectTracker[Project Status],"Not Started"))</f>
        <v>0</v>
      </c>
      <c r="D29" s="20">
        <f>IF($B29="","",COUNTIFS(ProjectTracker[Auditor],$B29,ProjectTracker[Project Status],"In Progress"))</f>
        <v>4</v>
      </c>
      <c r="E29" s="21">
        <f>IF($B29="","",COUNTIFS(ProjectTracker[Auditor],$B29,ProjectTracker[Project Status],"Hold"))</f>
        <v>0</v>
      </c>
      <c r="F29" s="22">
        <f>IF($B29="","",COUNTIFS(ProjectTracker[Auditor],$B29,ProjectTracker[Project Status],"Completed"))</f>
        <v>0</v>
      </c>
      <c r="G29" s="23">
        <f t="shared" si="0"/>
        <v>4</v>
      </c>
      <c r="H29" s="1"/>
      <c r="I29" s="1"/>
      <c r="J29" s="1"/>
      <c r="K29" s="1"/>
      <c r="L29" s="1"/>
      <c r="M29" s="1"/>
      <c r="N29" s="1"/>
      <c r="O29" s="1"/>
      <c r="P29" s="1"/>
      <c r="AB29">
        <f>IF('Project Tracker'!D31="","",IF(COUNTIF('Project Tracker'!$D$2:D31,'Project Tracker'!D31)=1,MAX($AB$1:AB28)+1,""))</f>
        <v>10</v>
      </c>
    </row>
    <row r="30" spans="1:28" ht="15" customHeight="1">
      <c r="A30" s="1"/>
      <c r="B30" s="24" t="str">
        <f>IFERROR(INDEX('Project Tracker'!$D$2:$D$5040,MATCH(16,$AB$2:$AB$5000,0)),"")</f>
        <v>Gautam Patidar</v>
      </c>
      <c r="C30" s="25">
        <f>IF($B30="","",COUNTIFS(ProjectTracker[Auditor],$B30,ProjectTracker[Project Status],"Not Started"))</f>
        <v>0</v>
      </c>
      <c r="D30" s="26">
        <f>IF($B30="","",COUNTIFS(ProjectTracker[Auditor],$B30,ProjectTracker[Project Status],"In Progress"))</f>
        <v>6</v>
      </c>
      <c r="E30" s="27">
        <f>IF($B30="","",COUNTIFS(ProjectTracker[Auditor],$B30,ProjectTracker[Project Status],"Hold"))</f>
        <v>0</v>
      </c>
      <c r="F30" s="28">
        <f>IF($B30="","",COUNTIFS(ProjectTracker[Auditor],$B30,ProjectTracker[Project Status],"Completed"))</f>
        <v>2</v>
      </c>
      <c r="G30" s="29">
        <f>IF($B30="","",SUM(C30:F30))</f>
        <v>8</v>
      </c>
      <c r="H30" s="1"/>
      <c r="I30" s="1"/>
      <c r="J30" s="1"/>
      <c r="K30" s="1"/>
      <c r="L30" s="1"/>
      <c r="M30" s="1"/>
      <c r="N30" s="1"/>
      <c r="O30" s="1"/>
      <c r="P30" s="1"/>
      <c r="AB30" t="str">
        <f>IF('Project Tracker'!D32="","",IF(COUNTIF('Project Tracker'!$D$2:D32,'Project Tracker'!D32)=1,MAX($AB$1:AB29)+1,""))</f>
        <v/>
      </c>
    </row>
    <row r="31" spans="1:28" ht="15" customHeight="1">
      <c r="A31" s="1"/>
      <c r="B31" s="18" t="str">
        <f>IFERROR(INDEX('Project Tracker'!$D$2:$D$5040,MATCH(17,$AB$2:$AB$5000,0)),"")</f>
        <v xml:space="preserve">Kavish </v>
      </c>
      <c r="C31" s="19">
        <f>IF($B31="","",COUNTIFS(ProjectTracker[Auditor],$B31,ProjectTracker[Project Status],"Not Started"))</f>
        <v>0</v>
      </c>
      <c r="D31" s="20">
        <f>IF($B31="","",COUNTIFS(ProjectTracker[Auditor],$B31,ProjectTracker[Project Status],"In Progress"))</f>
        <v>0</v>
      </c>
      <c r="E31" s="21">
        <f>IF($B31="","",COUNTIFS(ProjectTracker[Auditor],$B31,ProjectTracker[Project Status],"Hold"))</f>
        <v>0</v>
      </c>
      <c r="F31" s="22">
        <f>IF($B31="","",COUNTIFS(ProjectTracker[Auditor],$B31,ProjectTracker[Project Status],"Completed"))</f>
        <v>1</v>
      </c>
      <c r="G31" s="23">
        <f t="shared" si="0"/>
        <v>1</v>
      </c>
      <c r="H31" s="1"/>
      <c r="I31" s="1"/>
      <c r="J31" s="1"/>
      <c r="K31" s="1"/>
      <c r="L31" s="1"/>
      <c r="M31" s="1"/>
      <c r="N31" s="1"/>
      <c r="O31" s="1"/>
      <c r="P31" s="1"/>
      <c r="AB31">
        <f>IF('Project Tracker'!D33="","",IF(COUNTIF('Project Tracker'!$D$2:D33,'Project Tracker'!D33)=1,MAX($AB$1:AB30)+1,""))</f>
        <v>11</v>
      </c>
    </row>
    <row r="32" spans="1:28" ht="15" customHeight="1">
      <c r="A32" s="1"/>
      <c r="B32" s="24" t="str">
        <f>IFERROR(INDEX('Project Tracker'!$D$2:$D$5040,MATCH(18,$AB$2:$AB$5000,0)),"")</f>
        <v>Alphae</v>
      </c>
      <c r="C32" s="25">
        <f>IF($B32="","",COUNTIFS(ProjectTracker[Auditor],$B32,ProjectTracker[Project Status],"Not Started"))</f>
        <v>1</v>
      </c>
      <c r="D32" s="26">
        <f>IF($B32="","",COUNTIFS(ProjectTracker[Auditor],$B32,ProjectTracker[Project Status],"In Progress"))</f>
        <v>10</v>
      </c>
      <c r="E32" s="27">
        <f>IF($B32="","",COUNTIFS(ProjectTracker[Auditor],$B32,ProjectTracker[Project Status],"Hold"))</f>
        <v>1</v>
      </c>
      <c r="F32" s="28">
        <f>IF($B32="","",COUNTIFS(ProjectTracker[Auditor],$B32,ProjectTracker[Project Status],"Completed"))</f>
        <v>6</v>
      </c>
      <c r="G32" s="29">
        <f t="shared" si="0"/>
        <v>18</v>
      </c>
      <c r="H32" s="1"/>
      <c r="I32" s="1"/>
      <c r="J32" s="1"/>
      <c r="K32" s="1"/>
      <c r="L32" s="1"/>
      <c r="M32" s="1"/>
      <c r="N32" s="1"/>
      <c r="O32" s="1"/>
      <c r="P32" s="1"/>
      <c r="AB32" t="str">
        <f>IF('Project Tracker'!D34="","",IF(COUNTIF('Project Tracker'!$D$2:D34,'Project Tracker'!D34)=1,MAX($AB$1:AB31)+1,""))</f>
        <v/>
      </c>
    </row>
    <row r="33" spans="1:28" ht="15" customHeight="1">
      <c r="A33" s="1"/>
      <c r="B33" s="18" t="str">
        <f>IFERROR(INDEX('Project Tracker'!$D$2:$D$5040,MATCH(19,$AB$2:$AB$5000,0)),"")</f>
        <v>Ashutosh, Anushree</v>
      </c>
      <c r="C33" s="19">
        <f>IF($B33="","",COUNTIFS(ProjectTracker[Auditor],$B33,ProjectTracker[Project Status],"Not Started"))</f>
        <v>0</v>
      </c>
      <c r="D33" s="20">
        <f>IF($B33="","",COUNTIFS(ProjectTracker[Auditor],$B33,ProjectTracker[Project Status],"In Progress"))</f>
        <v>0</v>
      </c>
      <c r="E33" s="21">
        <f>IF($B33="","",COUNTIFS(ProjectTracker[Auditor],$B33,ProjectTracker[Project Status],"Hold"))</f>
        <v>0</v>
      </c>
      <c r="F33" s="22">
        <f>IF($B33="","",COUNTIFS(ProjectTracker[Auditor],$B33,ProjectTracker[Project Status],"Completed"))</f>
        <v>1</v>
      </c>
      <c r="G33" s="23">
        <f t="shared" si="0"/>
        <v>1</v>
      </c>
      <c r="H33" s="1"/>
      <c r="I33" s="1"/>
      <c r="J33" s="1"/>
      <c r="K33" s="1"/>
      <c r="L33" s="1"/>
      <c r="M33" s="1"/>
      <c r="N33" s="1"/>
      <c r="O33" s="1"/>
      <c r="P33" s="1"/>
      <c r="AB33" t="str">
        <f>IF('Project Tracker'!D35="","",IF(COUNTIF('Project Tracker'!$D$2:D35,'Project Tracker'!D35)=1,MAX($AB$1:AB32)+1,""))</f>
        <v/>
      </c>
    </row>
    <row r="34" spans="1:28" ht="15" customHeight="1">
      <c r="A34" s="1"/>
      <c r="B34" s="24" t="str">
        <f>IFERROR(INDEX('Project Tracker'!$D$2:$D$5040,MATCH(20,$AB$2:$AB$5000,0)),"")</f>
        <v>Pratham</v>
      </c>
      <c r="C34" s="25">
        <f>IF($B34="","",COUNTIFS(ProjectTracker[Auditor],$B34,ProjectTracker[Project Status],"Not Started"))</f>
        <v>0</v>
      </c>
      <c r="D34" s="26">
        <f>IF($B34="","",COUNTIFS(ProjectTracker[Auditor],$B34,ProjectTracker[Project Status],"In Progress"))</f>
        <v>3</v>
      </c>
      <c r="E34" s="27">
        <f>IF($B34="","",COUNTIFS(ProjectTracker[Auditor],$B34,ProjectTracker[Project Status],"Hold"))</f>
        <v>1</v>
      </c>
      <c r="F34" s="28">
        <f>IF($B34="","",COUNTIFS(ProjectTracker[Auditor],$B34,ProjectTracker[Project Status],"Completed"))</f>
        <v>15</v>
      </c>
      <c r="G34" s="29">
        <f t="shared" si="0"/>
        <v>19</v>
      </c>
      <c r="H34" s="1"/>
      <c r="I34" s="1"/>
      <c r="J34" s="1"/>
      <c r="K34" s="1"/>
      <c r="L34" s="1"/>
      <c r="M34" s="1"/>
      <c r="N34" s="1"/>
      <c r="O34" s="1"/>
      <c r="P34" s="1"/>
      <c r="AB34">
        <f>IF('Project Tracker'!D36="","",IF(COUNTIF('Project Tracker'!$D$2:D36,'Project Tracker'!D36)=1,MAX($AB$1:AB33)+1,""))</f>
        <v>12</v>
      </c>
    </row>
    <row r="35" spans="1:28" ht="15" customHeight="1">
      <c r="A35" s="1"/>
      <c r="B35" s="18" t="str">
        <f>IFERROR(INDEX('Project Tracker'!$D$2:$D$5040,MATCH(21,$AB$2:$AB$5000,0)),"")</f>
        <v>Sagar</v>
      </c>
      <c r="C35" s="19">
        <f>IF($B35="","",COUNTIFS(ProjectTracker[Auditor],$B35,ProjectTracker[Project Status],"Not Started"))</f>
        <v>0</v>
      </c>
      <c r="D35" s="20">
        <f>IF($B35="","",COUNTIFS(ProjectTracker[Auditor],$B35,ProjectTracker[Project Status],"In Progress"))</f>
        <v>0</v>
      </c>
      <c r="E35" s="21">
        <f>IF($B35="","",COUNTIFS(ProjectTracker[Auditor],$B35,ProjectTracker[Project Status],"Hold"))</f>
        <v>0</v>
      </c>
      <c r="F35" s="22">
        <f>IF($B35="","",COUNTIFS(ProjectTracker[Auditor],$B35,ProjectTracker[Project Status],"Completed"))</f>
        <v>1</v>
      </c>
      <c r="G35" s="23">
        <f t="shared" si="0"/>
        <v>1</v>
      </c>
      <c r="H35" s="1"/>
      <c r="I35" s="1"/>
      <c r="J35" s="1"/>
      <c r="K35" s="1"/>
      <c r="L35" s="1"/>
      <c r="M35" s="1"/>
      <c r="N35" s="1"/>
      <c r="O35" s="1"/>
      <c r="P35" s="1"/>
      <c r="AB35" t="str">
        <f>IF('Project Tracker'!D37="","",IF(COUNTIF('Project Tracker'!$D$2:D37,'Project Tracker'!D37)=1,MAX($AB$1:AB34)+1,""))</f>
        <v/>
      </c>
    </row>
    <row r="36" spans="1:28" ht="15" customHeight="1">
      <c r="A36" s="1"/>
      <c r="B36" s="24" t="str">
        <f>IFERROR(INDEX('Project Tracker'!$D$2:$D$5040,MATCH(22,$AB$2:$AB$5000,0)),"")</f>
        <v>Anushree</v>
      </c>
      <c r="C36" s="25">
        <f>IF($B36="","",COUNTIFS(ProjectTracker[Auditor],$B36,ProjectTracker[Project Status],"Not Started"))</f>
        <v>0</v>
      </c>
      <c r="D36" s="26">
        <f>IF($B36="","",COUNTIFS(ProjectTracker[Auditor],$B36,ProjectTracker[Project Status],"In Progress"))</f>
        <v>4</v>
      </c>
      <c r="E36" s="27">
        <f>IF($B36="","",COUNTIFS(ProjectTracker[Auditor],$B36,ProjectTracker[Project Status],"Hold"))</f>
        <v>0</v>
      </c>
      <c r="F36" s="28">
        <f>IF($B36="","",COUNTIFS(ProjectTracker[Auditor],$B36,ProjectTracker[Project Status],"Completed"))</f>
        <v>9</v>
      </c>
      <c r="G36" s="29">
        <f t="shared" si="0"/>
        <v>13</v>
      </c>
      <c r="H36" s="1"/>
      <c r="I36" s="1"/>
      <c r="J36" s="1"/>
      <c r="K36" s="1"/>
      <c r="L36" s="1"/>
      <c r="M36" s="1"/>
      <c r="N36" s="1"/>
      <c r="O36" s="1"/>
      <c r="P36" s="1"/>
      <c r="AB36" t="str">
        <f>IF('Project Tracker'!D38="","",IF(COUNTIF('Project Tracker'!$D$2:D38,'Project Tracker'!D38)=1,MAX($AB$1:AB35)+1,""))</f>
        <v/>
      </c>
    </row>
    <row r="37" spans="1:28" ht="15" customHeight="1">
      <c r="A37" s="1"/>
      <c r="B37" s="18" t="str">
        <f>IFERROR(INDEX('Project Tracker'!$D$2:$D$5040,MATCH(23,$AB$2:$AB$5000,0)),"")</f>
        <v>Alphae</v>
      </c>
      <c r="C37" s="19">
        <f>IF($B37="","",COUNTIFS(ProjectTracker[Auditor],$B37,ProjectTracker[Project Status],"Not Started"))</f>
        <v>1</v>
      </c>
      <c r="D37" s="20">
        <f>IF($B37="","",COUNTIFS(ProjectTracker[Auditor],$B37,ProjectTracker[Project Status],"In Progress"))</f>
        <v>10</v>
      </c>
      <c r="E37" s="21">
        <f>IF($B37="","",COUNTIFS(ProjectTracker[Auditor],$B37,ProjectTracker[Project Status],"Hold"))</f>
        <v>1</v>
      </c>
      <c r="F37" s="22">
        <f>IF($B37="","",COUNTIFS(ProjectTracker[Auditor],$B37,ProjectTracker[Project Status],"Completed"))</f>
        <v>6</v>
      </c>
      <c r="G37" s="23">
        <f t="shared" si="0"/>
        <v>18</v>
      </c>
      <c r="H37" s="1"/>
      <c r="I37" s="1"/>
      <c r="J37" s="1"/>
      <c r="K37" s="1"/>
      <c r="L37" s="1"/>
      <c r="M37" s="1"/>
      <c r="N37" s="1"/>
      <c r="O37" s="1"/>
      <c r="P37" s="1"/>
      <c r="AB37" t="str">
        <f>IF('Project Tracker'!D39="","",IF(COUNTIF('Project Tracker'!$D$2:D39,'Project Tracker'!D39)=1,MAX($AB$1:AB36)+1,""))</f>
        <v/>
      </c>
    </row>
    <row r="38" spans="1:28" ht="15" customHeight="1">
      <c r="A38" s="1"/>
      <c r="B38" s="24" t="str">
        <f>IFERROR(INDEX('Project Tracker'!$D$2:$D$5040,MATCH(24,$AB$2:$AB$5000,0)),"")</f>
        <v>Vineet, Purvi</v>
      </c>
      <c r="C38" s="25">
        <f>IF($B38="","",COUNTIFS(ProjectTracker[Auditor],$B38,ProjectTracker[Project Status],"Not Started"))</f>
        <v>0</v>
      </c>
      <c r="D38" s="26">
        <f>IF($B38="","",COUNTIFS(ProjectTracker[Auditor],$B38,ProjectTracker[Project Status],"In Progress"))</f>
        <v>0</v>
      </c>
      <c r="E38" s="27">
        <f>IF($B38="","",COUNTIFS(ProjectTracker[Auditor],$B38,ProjectTracker[Project Status],"Hold"))</f>
        <v>0</v>
      </c>
      <c r="F38" s="28">
        <f>IF($B38="","",COUNTIFS(ProjectTracker[Auditor],$B38,ProjectTracker[Project Status],"Completed"))</f>
        <v>1</v>
      </c>
      <c r="G38" s="29">
        <f t="shared" si="0"/>
        <v>1</v>
      </c>
      <c r="H38" s="1"/>
      <c r="I38" s="1"/>
      <c r="J38" s="1"/>
      <c r="K38" s="1"/>
      <c r="L38" s="1"/>
      <c r="M38" s="1"/>
      <c r="N38" s="1"/>
      <c r="O38" s="1"/>
      <c r="P38" s="1"/>
      <c r="AB38">
        <f>IF('Project Tracker'!D40="","",IF(COUNTIF('Project Tracker'!$D$2:D40,'Project Tracker'!D40)=1,MAX($AB$1:AB37)+1,""))</f>
        <v>13</v>
      </c>
    </row>
    <row r="39" spans="1:28" ht="15" customHeight="1">
      <c r="A39" s="1"/>
      <c r="B39" s="18" t="str">
        <f>IFERROR(INDEX('Project Tracker'!$D$2:$D$5040,MATCH(25,$AB$2:$AB$5000,0)),"")</f>
        <v>Pratham</v>
      </c>
      <c r="C39" s="19">
        <f>IF($B39="","",COUNTIFS(ProjectTracker[Auditor],$B39,ProjectTracker[Project Status],"Not Started"))</f>
        <v>0</v>
      </c>
      <c r="D39" s="20">
        <f>IF($B39="","",COUNTIFS(ProjectTracker[Auditor],$B39,ProjectTracker[Project Status],"In Progress"))</f>
        <v>3</v>
      </c>
      <c r="E39" s="21">
        <f>IF($B39="","",COUNTIFS(ProjectTracker[Auditor],$B39,ProjectTracker[Project Status],"Hold"))</f>
        <v>1</v>
      </c>
      <c r="F39" s="22">
        <f>IF($B39="","",COUNTIFS(ProjectTracker[Auditor],$B39,ProjectTracker[Project Status],"Completed"))</f>
        <v>15</v>
      </c>
      <c r="G39" s="23">
        <f t="shared" si="0"/>
        <v>19</v>
      </c>
      <c r="H39" s="1"/>
      <c r="I39" s="1"/>
      <c r="J39" s="1"/>
      <c r="K39" s="1"/>
      <c r="L39" s="1"/>
      <c r="M39" s="1"/>
      <c r="N39" s="1"/>
      <c r="O39" s="1"/>
      <c r="P39" s="1"/>
      <c r="AB39" t="str">
        <f>IF('Project Tracker'!D41="","",IF(COUNTIF('Project Tracker'!$D$2:D41,'Project Tracker'!D41)=1,MAX($AB$1:AB38)+1,""))</f>
        <v/>
      </c>
    </row>
    <row r="40" spans="1:28" ht="15" customHeight="1">
      <c r="A40" s="1"/>
      <c r="B40" s="24" t="str">
        <f>IFERROR(INDEX('Project Tracker'!$D$2:$D$5040,MATCH(26,$AB$2:$AB$5000,0)),"")</f>
        <v>Akash</v>
      </c>
      <c r="C40" s="25">
        <f>IF($B40="","",COUNTIFS(ProjectTracker[Auditor],$B40,ProjectTracker[Project Status],"Not Started"))</f>
        <v>0</v>
      </c>
      <c r="D40" s="26">
        <f>IF($B40="","",COUNTIFS(ProjectTracker[Auditor],$B40,ProjectTracker[Project Status],"In Progress"))</f>
        <v>12</v>
      </c>
      <c r="E40" s="27">
        <f>IF($B40="","",COUNTIFS(ProjectTracker[Auditor],$B40,ProjectTracker[Project Status],"Hold"))</f>
        <v>0</v>
      </c>
      <c r="F40" s="28">
        <f>IF($B40="","",COUNTIFS(ProjectTracker[Auditor],$B40,ProjectTracker[Project Status],"Completed"))</f>
        <v>4</v>
      </c>
      <c r="G40" s="29">
        <f t="shared" si="0"/>
        <v>16</v>
      </c>
      <c r="H40" s="1"/>
      <c r="I40" s="1"/>
      <c r="J40" s="1"/>
      <c r="K40" s="1"/>
      <c r="L40" s="1"/>
      <c r="M40" s="1"/>
      <c r="N40" s="1"/>
      <c r="O40" s="1"/>
      <c r="P40" s="1"/>
      <c r="AB40" t="str">
        <f>IF('Project Tracker'!D42="","",IF(COUNTIF('Project Tracker'!$D$2:D42,'Project Tracker'!D42)=1,MAX($AB$1:AB39)+1,""))</f>
        <v/>
      </c>
    </row>
    <row r="41" spans="1:28" ht="15" customHeight="1">
      <c r="A41" s="1"/>
      <c r="B41" s="18" t="str">
        <f>IFERROR(INDEX('Project Tracker'!$D$2:$D$5040,MATCH(27,$AB$2:$AB$5000,0)),"")</f>
        <v>Vineet</v>
      </c>
      <c r="C41" s="19">
        <f>IF($B41="","",COUNTIFS(ProjectTracker[Auditor],$B41,ProjectTracker[Project Status],"Not Started"))</f>
        <v>4</v>
      </c>
      <c r="D41" s="20">
        <f>IF($B41="","",COUNTIFS(ProjectTracker[Auditor],$B41,ProjectTracker[Project Status],"In Progress"))</f>
        <v>4</v>
      </c>
      <c r="E41" s="21">
        <f>IF($B41="","",COUNTIFS(ProjectTracker[Auditor],$B41,ProjectTracker[Project Status],"Hold"))</f>
        <v>1</v>
      </c>
      <c r="F41" s="22">
        <f>IF($B41="","",COUNTIFS(ProjectTracker[Auditor],$B41,ProjectTracker[Project Status],"Completed"))</f>
        <v>10</v>
      </c>
      <c r="G41" s="23">
        <f t="shared" si="0"/>
        <v>19</v>
      </c>
      <c r="H41" s="1"/>
      <c r="I41" s="1"/>
      <c r="J41" s="1"/>
      <c r="K41" s="1"/>
      <c r="L41" s="1"/>
      <c r="M41" s="1"/>
      <c r="N41" s="1"/>
      <c r="O41" s="1"/>
      <c r="P41" s="1"/>
      <c r="AB41" t="str">
        <f>IF('Project Tracker'!D43="","",IF(COUNTIF('Project Tracker'!$D$2:D43,'Project Tracker'!D43)=1,MAX($AB$1:AB40)+1,""))</f>
        <v/>
      </c>
    </row>
    <row r="42" spans="1:28" ht="15" customHeight="1">
      <c r="A42" s="1"/>
      <c r="B42" s="24" t="str">
        <f>IFERROR(INDEX('Project Tracker'!$D$2:$D$5040,MATCH(28,$AB$2:$AB$5000,0)),"")</f>
        <v>Aditya</v>
      </c>
      <c r="C42" s="25">
        <f>IF($B42="","",COUNTIFS(ProjectTracker[Auditor],$B42,ProjectTracker[Project Status],"Not Started"))</f>
        <v>0</v>
      </c>
      <c r="D42" s="26">
        <f>IF($B42="","",COUNTIFS(ProjectTracker[Auditor],$B42,ProjectTracker[Project Status],"In Progress"))</f>
        <v>5</v>
      </c>
      <c r="E42" s="27">
        <f>IF($B42="","",COUNTIFS(ProjectTracker[Auditor],$B42,ProjectTracker[Project Status],"Hold"))</f>
        <v>0</v>
      </c>
      <c r="F42" s="28">
        <f>IF($B42="","",COUNTIFS(ProjectTracker[Auditor],$B42,ProjectTracker[Project Status],"Completed"))</f>
        <v>2</v>
      </c>
      <c r="G42" s="29">
        <f t="shared" si="0"/>
        <v>7</v>
      </c>
      <c r="H42" s="1"/>
      <c r="I42" s="1"/>
      <c r="J42" s="1"/>
      <c r="K42" s="1"/>
      <c r="L42" s="1"/>
      <c r="M42" s="1"/>
      <c r="N42" s="1"/>
      <c r="O42" s="1"/>
      <c r="P42" s="1"/>
      <c r="AB42" t="str">
        <f>IF('Project Tracker'!D44="","",IF(COUNTIF('Project Tracker'!$D$2:D44,'Project Tracker'!D44)=1,MAX($AB$1:AB41)+1,""))</f>
        <v/>
      </c>
    </row>
    <row r="43" spans="1:28" ht="15" customHeight="1">
      <c r="A43" s="1"/>
      <c r="B43" s="18" t="str">
        <f>IFERROR(INDEX('Project Tracker'!$D$2:$D$5040,MATCH(29,$AB$2:$AB$5000,0)),"")</f>
        <v>Deven</v>
      </c>
      <c r="C43" s="19">
        <f>IF($B43="","",COUNTIFS(ProjectTracker[Auditor],$B43,ProjectTracker[Project Status],"Not Started"))</f>
        <v>0</v>
      </c>
      <c r="D43" s="20">
        <f>IF($B43="","",COUNTIFS(ProjectTracker[Auditor],$B43,ProjectTracker[Project Status],"In Progress"))</f>
        <v>0</v>
      </c>
      <c r="E43" s="21">
        <f>IF($B43="","",COUNTIFS(ProjectTracker[Auditor],$B43,ProjectTracker[Project Status],"Hold"))</f>
        <v>0</v>
      </c>
      <c r="F43" s="22">
        <f>IF($B43="","",COUNTIFS(ProjectTracker[Auditor],$B43,ProjectTracker[Project Status],"Completed"))</f>
        <v>4</v>
      </c>
      <c r="G43" s="23">
        <f t="shared" si="0"/>
        <v>4</v>
      </c>
      <c r="H43" s="1"/>
      <c r="I43" s="1"/>
      <c r="J43" s="1"/>
      <c r="K43" s="1"/>
      <c r="L43" s="1"/>
      <c r="M43" s="1"/>
      <c r="N43" s="1"/>
      <c r="O43" s="1"/>
      <c r="P43" s="1"/>
      <c r="AB43" t="str">
        <f>IF('Project Tracker'!D45="","",IF(COUNTIF('Project Tracker'!$D$2:D45,'Project Tracker'!D45)=1,MAX($AB$1:AB42)+1,""))</f>
        <v/>
      </c>
    </row>
    <row r="44" spans="1:28" ht="15" customHeight="1">
      <c r="A44" s="1"/>
      <c r="B44" s="24" t="str">
        <f>IFERROR(INDEX('Project Tracker'!$D$2:$D$5040,MATCH(30,$AB$2:$AB$5000,0)),"")</f>
        <v>Vineet</v>
      </c>
      <c r="C44" s="25">
        <f>IF($B44="","",COUNTIFS(ProjectTracker[Auditor],$B44,ProjectTracker[Project Status],"Not Started"))</f>
        <v>4</v>
      </c>
      <c r="D44" s="26">
        <f>IF($B44="","",COUNTIFS(ProjectTracker[Auditor],$B44,ProjectTracker[Project Status],"In Progress"))</f>
        <v>4</v>
      </c>
      <c r="E44" s="27">
        <f>IF($B44="","",COUNTIFS(ProjectTracker[Auditor],$B44,ProjectTracker[Project Status],"Hold"))</f>
        <v>1</v>
      </c>
      <c r="F44" s="28">
        <f>IF($B44="","",COUNTIFS(ProjectTracker[Auditor],$B44,ProjectTracker[Project Status],"Completed"))</f>
        <v>10</v>
      </c>
      <c r="G44" s="29">
        <f t="shared" si="0"/>
        <v>19</v>
      </c>
      <c r="H44" s="1"/>
      <c r="I44" s="1"/>
      <c r="J44" s="1"/>
      <c r="K44" s="1"/>
      <c r="L44" s="1"/>
      <c r="M44" s="1"/>
      <c r="N44" s="1"/>
      <c r="O44" s="1"/>
      <c r="P44" s="1"/>
      <c r="AB44" t="str">
        <f>IF('Project Tracker'!D46="","",IF(COUNTIF('Project Tracker'!$D$2:D46,'Project Tracker'!D46)=1,MAX($AB$1:AB43)+1,""))</f>
        <v/>
      </c>
    </row>
    <row r="45" spans="1:28" ht="15" customHeight="1">
      <c r="A45" s="1"/>
      <c r="B45" s="18" t="str">
        <f>IFERROR(INDEX('Project Tracker'!$D$2:$D$5040,MATCH(31,$AB$2:$AB$5000,0)),"")</f>
        <v>Gourav</v>
      </c>
      <c r="C45" s="19">
        <f>IF($B45="","",COUNTIFS(ProjectTracker[Auditor],$B45,ProjectTracker[Project Status],"Not Started"))</f>
        <v>0</v>
      </c>
      <c r="D45" s="20">
        <f>IF($B45="","",COUNTIFS(ProjectTracker[Auditor],$B45,ProjectTracker[Project Status],"In Progress"))</f>
        <v>2</v>
      </c>
      <c r="E45" s="21">
        <f>IF($B45="","",COUNTIFS(ProjectTracker[Auditor],$B45,ProjectTracker[Project Status],"Hold"))</f>
        <v>0</v>
      </c>
      <c r="F45" s="22">
        <f>IF($B45="","",COUNTIFS(ProjectTracker[Auditor],$B45,ProjectTracker[Project Status],"Completed"))</f>
        <v>8</v>
      </c>
      <c r="G45" s="23">
        <f t="shared" si="0"/>
        <v>10</v>
      </c>
      <c r="H45" s="1"/>
      <c r="I45" s="1"/>
      <c r="J45" s="1"/>
      <c r="K45" s="1"/>
      <c r="L45" s="1"/>
      <c r="M45" s="1"/>
      <c r="N45" s="1"/>
      <c r="O45" s="1"/>
      <c r="P45" s="1"/>
      <c r="AB45" t="str">
        <f>IF('Project Tracker'!D47="","",IF(COUNTIF('Project Tracker'!$D$2:D47,'Project Tracker'!D47)=1,MAX($AB$1:AB44)+1,""))</f>
        <v/>
      </c>
    </row>
    <row r="46" spans="1:28" ht="15" customHeight="1">
      <c r="A46" s="1"/>
      <c r="B46" s="24" t="str">
        <f>IFERROR(INDEX('Project Tracker'!$D$2:$D$5040,MATCH(32,$AB$2:$AB$5000,0)),"")</f>
        <v>Dimple</v>
      </c>
      <c r="C46" s="25">
        <f>IF($B46="","",COUNTIFS(ProjectTracker[Auditor],$B46,ProjectTracker[Project Status],"Not Started"))</f>
        <v>0</v>
      </c>
      <c r="D46" s="26">
        <f>IF($B46="","",COUNTIFS(ProjectTracker[Auditor],$B46,ProjectTracker[Project Status],"In Progress"))</f>
        <v>4</v>
      </c>
      <c r="E46" s="27">
        <f>IF($B46="","",COUNTIFS(ProjectTracker[Auditor],$B46,ProjectTracker[Project Status],"Hold"))</f>
        <v>1</v>
      </c>
      <c r="F46" s="28">
        <f>IF($B46="","",COUNTIFS(ProjectTracker[Auditor],$B46,ProjectTracker[Project Status],"Completed"))</f>
        <v>19</v>
      </c>
      <c r="G46" s="29">
        <f t="shared" si="0"/>
        <v>24</v>
      </c>
      <c r="H46" s="1"/>
      <c r="I46" s="1"/>
      <c r="J46" s="1"/>
      <c r="K46" s="1"/>
      <c r="L46" s="1"/>
      <c r="M46" s="1"/>
      <c r="N46" s="1"/>
      <c r="O46" s="1"/>
      <c r="P46" s="1"/>
      <c r="AB46" t="str">
        <f>IF('Project Tracker'!D48="","",IF(COUNTIF('Project Tracker'!$D$2:D48,'Project Tracker'!D48)=1,MAX($AB$1:AB45)+1,""))</f>
        <v/>
      </c>
    </row>
    <row r="47" spans="1:28" ht="15" customHeight="1">
      <c r="A47" s="1"/>
      <c r="B47" s="18" t="str">
        <f>IFERROR(INDEX('Project Tracker'!$D$2:$D$5040,MATCH(33,$AB$2:$AB$5000,0)),"")</f>
        <v>Vineet</v>
      </c>
      <c r="C47" s="19">
        <f>IF($B47="","",COUNTIFS(ProjectTracker[Auditor],$B47,ProjectTracker[Project Status],"Not Started"))</f>
        <v>4</v>
      </c>
      <c r="D47" s="20">
        <f>IF($B47="","",COUNTIFS(ProjectTracker[Auditor],$B47,ProjectTracker[Project Status],"In Progress"))</f>
        <v>4</v>
      </c>
      <c r="E47" s="21">
        <f>IF($B47="","",COUNTIFS(ProjectTracker[Auditor],$B47,ProjectTracker[Project Status],"Hold"))</f>
        <v>1</v>
      </c>
      <c r="F47" s="22">
        <f>IF($B47="","",COUNTIFS(ProjectTracker[Auditor],$B47,ProjectTracker[Project Status],"Completed"))</f>
        <v>10</v>
      </c>
      <c r="G47" s="23">
        <f t="shared" ref="G47:G78" si="1">IF($B47="","",SUM(C47:F47))</f>
        <v>19</v>
      </c>
      <c r="H47" s="1"/>
      <c r="I47" s="1"/>
      <c r="J47" s="1"/>
      <c r="K47" s="1"/>
      <c r="L47" s="1"/>
      <c r="M47" s="1"/>
      <c r="N47" s="1"/>
      <c r="O47" s="1"/>
      <c r="P47" s="1"/>
      <c r="AB47" t="str">
        <f>IF('Project Tracker'!D49="","",IF(COUNTIF('Project Tracker'!$D$2:D49,'Project Tracker'!D49)=1,MAX($AB$1:AB46)+1,""))</f>
        <v/>
      </c>
    </row>
    <row r="48" spans="1:28" ht="15" customHeight="1">
      <c r="A48" s="1"/>
      <c r="B48" s="24" t="str">
        <f>IFERROR(INDEX('Project Tracker'!$D$2:$D$5040,MATCH(34,$AB$2:$AB$5000,0)),"")</f>
        <v>Yash</v>
      </c>
      <c r="C48" s="25">
        <f>IF($B48="","",COUNTIFS(ProjectTracker[Auditor],$B48,ProjectTracker[Project Status],"Not Started"))</f>
        <v>0</v>
      </c>
      <c r="D48" s="26">
        <f>IF($B48="","",COUNTIFS(ProjectTracker[Auditor],$B48,ProjectTracker[Project Status],"In Progress"))</f>
        <v>0</v>
      </c>
      <c r="E48" s="27">
        <f>IF($B48="","",COUNTIFS(ProjectTracker[Auditor],$B48,ProjectTracker[Project Status],"Hold"))</f>
        <v>0</v>
      </c>
      <c r="F48" s="28">
        <f>IF($B48="","",COUNTIFS(ProjectTracker[Auditor],$B48,ProjectTracker[Project Status],"Completed"))</f>
        <v>2</v>
      </c>
      <c r="G48" s="29">
        <f t="shared" si="1"/>
        <v>2</v>
      </c>
      <c r="H48" s="1"/>
      <c r="I48" s="1"/>
      <c r="J48" s="1"/>
      <c r="K48" s="1"/>
      <c r="L48" s="1"/>
      <c r="M48" s="1"/>
      <c r="N48" s="1"/>
      <c r="O48" s="1"/>
      <c r="P48" s="1"/>
      <c r="AB48" t="str">
        <f>IF('Project Tracker'!D50="","",IF(COUNTIF('Project Tracker'!$D$2:D50,'Project Tracker'!D50)=1,MAX($AB$1:AB47)+1,""))</f>
        <v/>
      </c>
    </row>
    <row r="49" spans="1:28" ht="15" customHeight="1">
      <c r="A49" s="1"/>
      <c r="B49" s="18" t="str">
        <f>IFERROR(INDEX('Project Tracker'!$D$2:$D$5040,MATCH(35,$AB$2:$AB$5000,0)),"")</f>
        <v>Zubeda</v>
      </c>
      <c r="C49" s="19">
        <f>IF($B49="","",COUNTIFS(ProjectTracker[Auditor],$B49,ProjectTracker[Project Status],"Not Started"))</f>
        <v>1</v>
      </c>
      <c r="D49" s="20">
        <f>IF($B49="","",COUNTIFS(ProjectTracker[Auditor],$B49,ProjectTracker[Project Status],"In Progress"))</f>
        <v>13</v>
      </c>
      <c r="E49" s="21">
        <f>IF($B49="","",COUNTIFS(ProjectTracker[Auditor],$B49,ProjectTracker[Project Status],"Hold"))</f>
        <v>1</v>
      </c>
      <c r="F49" s="22">
        <f>IF($B49="","",COUNTIFS(ProjectTracker[Auditor],$B49,ProjectTracker[Project Status],"Completed"))</f>
        <v>7</v>
      </c>
      <c r="G49" s="23">
        <f t="shared" si="1"/>
        <v>22</v>
      </c>
      <c r="H49" s="1"/>
      <c r="I49" s="1"/>
      <c r="J49" s="1"/>
      <c r="K49" s="1"/>
      <c r="L49" s="1"/>
      <c r="M49" s="1"/>
      <c r="N49" s="1"/>
      <c r="O49" s="1"/>
      <c r="P49" s="1"/>
      <c r="AB49" t="str">
        <f>IF('Project Tracker'!D51="","",IF(COUNTIF('Project Tracker'!$D$2:D51,'Project Tracker'!D51)=1,MAX($AB$1:AB48)+1,""))</f>
        <v/>
      </c>
    </row>
    <row r="50" spans="1:28" ht="15" customHeight="1">
      <c r="A50" s="1"/>
      <c r="B50" s="24" t="str">
        <f>IFERROR(INDEX('Project Tracker'!$D$2:$D$5040,MATCH(36,$AB$2:$AB$5000,0)),"")</f>
        <v>Akash</v>
      </c>
      <c r="C50" s="25">
        <f>IF($B50="","",COUNTIFS(ProjectTracker[Auditor],$B50,ProjectTracker[Project Status],"Not Started"))</f>
        <v>0</v>
      </c>
      <c r="D50" s="26">
        <f>IF($B50="","",COUNTIFS(ProjectTracker[Auditor],$B50,ProjectTracker[Project Status],"In Progress"))</f>
        <v>12</v>
      </c>
      <c r="E50" s="27">
        <f>IF($B50="","",COUNTIFS(ProjectTracker[Auditor],$B50,ProjectTracker[Project Status],"Hold"))</f>
        <v>0</v>
      </c>
      <c r="F50" s="28">
        <f>IF($B50="","",COUNTIFS(ProjectTracker[Auditor],$B50,ProjectTracker[Project Status],"Completed"))</f>
        <v>4</v>
      </c>
      <c r="G50" s="29">
        <f t="shared" si="1"/>
        <v>16</v>
      </c>
      <c r="H50" s="1"/>
      <c r="I50" s="1"/>
      <c r="J50" s="1"/>
      <c r="K50" s="1"/>
      <c r="L50" s="1"/>
      <c r="M50" s="1"/>
      <c r="N50" s="1"/>
      <c r="O50" s="1"/>
      <c r="P50" s="1"/>
      <c r="AB50" t="str">
        <f>IF('Project Tracker'!D52="","",IF(COUNTIF('Project Tracker'!$D$2:D52,'Project Tracker'!D52)=1,MAX($AB$1:AB49)+1,""))</f>
        <v/>
      </c>
    </row>
    <row r="51" spans="1:28" ht="15" customHeight="1">
      <c r="A51" s="1"/>
      <c r="B51" s="18" t="str">
        <f>IFERROR(INDEX('Project Tracker'!$D$2:$D$5040,MATCH(37,$AB$2:$AB$5000,0)),"")</f>
        <v>Akash</v>
      </c>
      <c r="C51" s="19">
        <f>IF($B51="","",COUNTIFS(ProjectTracker[Auditor],$B51,ProjectTracker[Project Status],"Not Started"))</f>
        <v>0</v>
      </c>
      <c r="D51" s="20">
        <f>IF($B51="","",COUNTIFS(ProjectTracker[Auditor],$B51,ProjectTracker[Project Status],"In Progress"))</f>
        <v>12</v>
      </c>
      <c r="E51" s="21">
        <f>IF($B51="","",COUNTIFS(ProjectTracker[Auditor],$B51,ProjectTracker[Project Status],"Hold"))</f>
        <v>0</v>
      </c>
      <c r="F51" s="22">
        <f>IF($B51="","",COUNTIFS(ProjectTracker[Auditor],$B51,ProjectTracker[Project Status],"Completed"))</f>
        <v>4</v>
      </c>
      <c r="G51" s="23">
        <f t="shared" si="1"/>
        <v>16</v>
      </c>
      <c r="H51" s="1"/>
      <c r="I51" s="1"/>
      <c r="J51" s="1"/>
      <c r="K51" s="1"/>
      <c r="L51" s="1"/>
      <c r="M51" s="1"/>
      <c r="N51" s="1"/>
      <c r="O51" s="1"/>
      <c r="P51" s="1"/>
      <c r="AB51" t="str">
        <f>IF('Project Tracker'!D53="","",IF(COUNTIF('Project Tracker'!$D$2:D53,'Project Tracker'!D53)=1,MAX($AB$1:AB50)+1,""))</f>
        <v/>
      </c>
    </row>
    <row r="52" spans="1:28" ht="15" customHeight="1">
      <c r="A52" s="1"/>
      <c r="B52" s="24" t="str">
        <f>IFERROR(INDEX('Project Tracker'!$D$2:$D$5040,MATCH(38,$AB$2:$AB$5000,0)),"")</f>
        <v>Aishwarya</v>
      </c>
      <c r="C52" s="25">
        <f>IF($B52="","",COUNTIFS(ProjectTracker[Auditor],$B52,ProjectTracker[Project Status],"Not Started"))</f>
        <v>0</v>
      </c>
      <c r="D52" s="26">
        <f>IF($B52="","",COUNTIFS(ProjectTracker[Auditor],$B52,ProjectTracker[Project Status],"In Progress"))</f>
        <v>7</v>
      </c>
      <c r="E52" s="27">
        <f>IF($B52="","",COUNTIFS(ProjectTracker[Auditor],$B52,ProjectTracker[Project Status],"Hold"))</f>
        <v>0</v>
      </c>
      <c r="F52" s="28">
        <f>IF($B52="","",COUNTIFS(ProjectTracker[Auditor],$B52,ProjectTracker[Project Status],"Completed"))</f>
        <v>0</v>
      </c>
      <c r="G52" s="29">
        <f t="shared" si="1"/>
        <v>7</v>
      </c>
      <c r="H52" s="1"/>
      <c r="I52" s="1"/>
      <c r="J52" s="1"/>
      <c r="K52" s="1"/>
      <c r="L52" s="1"/>
      <c r="M52" s="1"/>
      <c r="N52" s="1"/>
      <c r="O52" s="1"/>
      <c r="P52" s="1"/>
      <c r="AB52" t="str">
        <f>IF('Project Tracker'!D54="","",IF(COUNTIF('Project Tracker'!$D$2:D54,'Project Tracker'!D54)=1,MAX($AB$1:AB51)+1,""))</f>
        <v/>
      </c>
    </row>
    <row r="53" spans="1:28" ht="15" customHeight="1">
      <c r="A53" s="1"/>
      <c r="B53" s="18" t="str">
        <f>IFERROR(INDEX('Project Tracker'!$D$2:$D$5040,MATCH(39,$AB$2:$AB$5000,0)),"")</f>
        <v>Aditya</v>
      </c>
      <c r="C53" s="19">
        <f>IF($B53="","",COUNTIFS(ProjectTracker[Auditor],$B53,ProjectTracker[Project Status],"Not Started"))</f>
        <v>0</v>
      </c>
      <c r="D53" s="20">
        <f>IF($B53="","",COUNTIFS(ProjectTracker[Auditor],$B53,ProjectTracker[Project Status],"In Progress"))</f>
        <v>5</v>
      </c>
      <c r="E53" s="21">
        <f>IF($B53="","",COUNTIFS(ProjectTracker[Auditor],$B53,ProjectTracker[Project Status],"Hold"))</f>
        <v>0</v>
      </c>
      <c r="F53" s="22">
        <f>IF($B53="","",COUNTIFS(ProjectTracker[Auditor],$B53,ProjectTracker[Project Status],"Completed"))</f>
        <v>2</v>
      </c>
      <c r="G53" s="23">
        <f t="shared" si="1"/>
        <v>7</v>
      </c>
      <c r="H53" s="1"/>
      <c r="I53" s="1"/>
      <c r="J53" s="1"/>
      <c r="K53" s="1"/>
      <c r="L53" s="1"/>
      <c r="M53" s="1"/>
      <c r="N53" s="1"/>
      <c r="O53" s="1"/>
      <c r="P53" s="1"/>
      <c r="AB53" t="str">
        <f>IF('Project Tracker'!D55="","",IF(COUNTIF('Project Tracker'!$D$2:D55,'Project Tracker'!D55)=1,MAX($AB$1:AB52)+1,""))</f>
        <v/>
      </c>
    </row>
    <row r="54" spans="1:28" ht="15" customHeight="1">
      <c r="A54" s="1"/>
      <c r="B54" s="24" t="str">
        <f>IFERROR(INDEX('Project Tracker'!$D$2:$D$5040,MATCH(40,$AB$2:$AB$5000,0)),"")</f>
        <v>Krishnapal</v>
      </c>
      <c r="C54" s="25">
        <f>IF($B54="","",COUNTIFS(ProjectTracker[Auditor],$B54,ProjectTracker[Project Status],"Not Started"))</f>
        <v>1</v>
      </c>
      <c r="D54" s="26">
        <f>IF($B54="","",COUNTIFS(ProjectTracker[Auditor],$B54,ProjectTracker[Project Status],"In Progress"))</f>
        <v>17</v>
      </c>
      <c r="E54" s="27">
        <f>IF($B54="","",COUNTIFS(ProjectTracker[Auditor],$B54,ProjectTracker[Project Status],"Hold"))</f>
        <v>0</v>
      </c>
      <c r="F54" s="28">
        <f>IF($B54="","",COUNTIFS(ProjectTracker[Auditor],$B54,ProjectTracker[Project Status],"Completed"))</f>
        <v>2</v>
      </c>
      <c r="G54" s="29">
        <f t="shared" si="1"/>
        <v>20</v>
      </c>
      <c r="H54" s="1"/>
      <c r="I54" s="1"/>
      <c r="J54" s="1"/>
      <c r="K54" s="1"/>
      <c r="L54" s="1"/>
      <c r="M54" s="1"/>
      <c r="N54" s="1"/>
      <c r="O54" s="1"/>
      <c r="P54" s="1"/>
      <c r="AB54">
        <f>IF('Project Tracker'!D56="","",IF(COUNTIF('Project Tracker'!$D$2:D56,'Project Tracker'!D56)=1,MAX($AB$1:AB53)+1,""))</f>
        <v>14</v>
      </c>
    </row>
    <row r="55" spans="1:28" ht="15" customHeight="1">
      <c r="A55" s="1"/>
      <c r="B55" s="18" t="str">
        <f>IFERROR(INDEX('Project Tracker'!$D$2:$D$5040,MATCH(41,$AB$2:$AB$5000,0)),"")</f>
        <v>Jayneel Chokshi</v>
      </c>
      <c r="C55" s="19">
        <f>IF($B55="","",COUNTIFS(ProjectTracker[Auditor],$B55,ProjectTracker[Project Status],"Not Started"))</f>
        <v>0</v>
      </c>
      <c r="D55" s="20">
        <f>IF($B55="","",COUNTIFS(ProjectTracker[Auditor],$B55,ProjectTracker[Project Status],"In Progress"))</f>
        <v>3</v>
      </c>
      <c r="E55" s="21">
        <f>IF($B55="","",COUNTIFS(ProjectTracker[Auditor],$B55,ProjectTracker[Project Status],"Hold"))</f>
        <v>0</v>
      </c>
      <c r="F55" s="22">
        <f>IF($B55="","",COUNTIFS(ProjectTracker[Auditor],$B55,ProjectTracker[Project Status],"Completed"))</f>
        <v>8</v>
      </c>
      <c r="G55" s="23">
        <f t="shared" si="1"/>
        <v>11</v>
      </c>
      <c r="H55" s="1"/>
      <c r="I55" s="1"/>
      <c r="J55" s="1"/>
      <c r="K55" s="1"/>
      <c r="L55" s="1"/>
      <c r="M55" s="1"/>
      <c r="N55" s="1"/>
      <c r="O55" s="1"/>
      <c r="P55" s="1"/>
      <c r="AB55" t="str">
        <f>IF('Project Tracker'!D57="","",IF(COUNTIF('Project Tracker'!$D$2:D57,'Project Tracker'!D57)=1,MAX($AB$1:AB54)+1,""))</f>
        <v/>
      </c>
    </row>
    <row r="56" spans="1:28" ht="15" customHeight="1">
      <c r="A56" s="1"/>
      <c r="B56" s="24" t="str">
        <f>IFERROR(INDEX('Project Tracker'!$D$2:$D$5040,MATCH(42,$AB$2:$AB$5000,0)),"")</f>
        <v>Owesh</v>
      </c>
      <c r="C56" s="25">
        <f>IF($B56="","",COUNTIFS(ProjectTracker[Auditor],$B56,ProjectTracker[Project Status],"Not Started"))</f>
        <v>0</v>
      </c>
      <c r="D56" s="26">
        <f>IF($B56="","",COUNTIFS(ProjectTracker[Auditor],$B56,ProjectTracker[Project Status],"In Progress"))</f>
        <v>9</v>
      </c>
      <c r="E56" s="27">
        <f>IF($B56="","",COUNTIFS(ProjectTracker[Auditor],$B56,ProjectTracker[Project Status],"Hold"))</f>
        <v>0</v>
      </c>
      <c r="F56" s="28">
        <f>IF($B56="","",COUNTIFS(ProjectTracker[Auditor],$B56,ProjectTracker[Project Status],"Completed"))</f>
        <v>3</v>
      </c>
      <c r="G56" s="29">
        <f t="shared" si="1"/>
        <v>12</v>
      </c>
      <c r="H56" s="1"/>
      <c r="I56" s="1"/>
      <c r="J56" s="1"/>
      <c r="K56" s="1"/>
      <c r="L56" s="1"/>
      <c r="M56" s="1"/>
      <c r="N56" s="1"/>
      <c r="O56" s="1"/>
      <c r="P56" s="1"/>
      <c r="AB56" t="str">
        <f>IF('Project Tracker'!D58="","",IF(COUNTIF('Project Tracker'!$D$2:D58,'Project Tracker'!D58)=1,MAX($AB$1:AB55)+1,""))</f>
        <v/>
      </c>
    </row>
    <row r="57" spans="1:28" ht="15" customHeight="1">
      <c r="A57" s="1"/>
      <c r="B57" s="18" t="str">
        <f>IFERROR(INDEX('Project Tracker'!$D$2:$D$5040,MATCH(43,$AB$2:$AB$5000,0)),"")</f>
        <v>Anushree</v>
      </c>
      <c r="C57" s="19">
        <f>IF($B57="","",COUNTIFS(ProjectTracker[Auditor],$B57,ProjectTracker[Project Status],"Not Started"))</f>
        <v>0</v>
      </c>
      <c r="D57" s="20">
        <f>IF($B57="","",COUNTIFS(ProjectTracker[Auditor],$B57,ProjectTracker[Project Status],"In Progress"))</f>
        <v>4</v>
      </c>
      <c r="E57" s="21">
        <f>IF($B57="","",COUNTIFS(ProjectTracker[Auditor],$B57,ProjectTracker[Project Status],"Hold"))</f>
        <v>0</v>
      </c>
      <c r="F57" s="22">
        <f>IF($B57="","",COUNTIFS(ProjectTracker[Auditor],$B57,ProjectTracker[Project Status],"Completed"))</f>
        <v>9</v>
      </c>
      <c r="G57" s="23">
        <f t="shared" si="1"/>
        <v>13</v>
      </c>
      <c r="H57" s="1"/>
      <c r="I57" s="1"/>
      <c r="J57" s="1"/>
      <c r="K57" s="1"/>
      <c r="L57" s="1"/>
      <c r="M57" s="1"/>
      <c r="N57" s="1"/>
      <c r="O57" s="1"/>
      <c r="P57" s="1"/>
      <c r="AB57" t="str">
        <f>IF('Project Tracker'!D59="","",IF(COUNTIF('Project Tracker'!$D$2:D59,'Project Tracker'!D59)=1,MAX($AB$1:AB56)+1,""))</f>
        <v/>
      </c>
    </row>
    <row r="58" spans="1:28" ht="15" customHeight="1">
      <c r="A58" s="1"/>
      <c r="B58" s="24" t="str">
        <f>IFERROR(INDEX('Project Tracker'!$D$2:$D$5040,MATCH(44,$AB$2:$AB$5000,0)),"")</f>
        <v>Kavish</v>
      </c>
      <c r="C58" s="25">
        <f>IF($B58="","",COUNTIFS(ProjectTracker[Auditor],$B58,ProjectTracker[Project Status],"Not Started"))</f>
        <v>0</v>
      </c>
      <c r="D58" s="26">
        <f>IF($B58="","",COUNTIFS(ProjectTracker[Auditor],$B58,ProjectTracker[Project Status],"In Progress"))</f>
        <v>12</v>
      </c>
      <c r="E58" s="27">
        <f>IF($B58="","",COUNTIFS(ProjectTracker[Auditor],$B58,ProjectTracker[Project Status],"Hold"))</f>
        <v>0</v>
      </c>
      <c r="F58" s="28">
        <f>IF($B58="","",COUNTIFS(ProjectTracker[Auditor],$B58,ProjectTracker[Project Status],"Completed"))</f>
        <v>3</v>
      </c>
      <c r="G58" s="29">
        <f t="shared" si="1"/>
        <v>15</v>
      </c>
      <c r="H58" s="1"/>
      <c r="I58" s="1"/>
      <c r="J58" s="1"/>
      <c r="K58" s="1"/>
      <c r="L58" s="1"/>
      <c r="M58" s="1"/>
      <c r="N58" s="1"/>
      <c r="O58" s="1"/>
      <c r="P58" s="1"/>
      <c r="AB58">
        <f>IF('Project Tracker'!D60="","",IF(COUNTIF('Project Tracker'!$D$2:D60,'Project Tracker'!D60)=1,MAX($AB$1:AB57)+1,""))</f>
        <v>15</v>
      </c>
    </row>
    <row r="59" spans="1:28" ht="15" customHeight="1">
      <c r="A59" s="1"/>
      <c r="B59" s="18" t="str">
        <f>IFERROR(INDEX('Project Tracker'!$D$2:$D$5040,MATCH(45,$AB$2:$AB$5000,0)),"")</f>
        <v/>
      </c>
      <c r="C59" s="19" t="str">
        <f>IF($B59="","",COUNTIFS(ProjectTracker[Auditor],$B59,ProjectTracker[Project Status],"Not Started"))</f>
        <v/>
      </c>
      <c r="D59" s="20" t="str">
        <f>IF($B59="","",COUNTIFS(ProjectTracker[Auditor],$B59,ProjectTracker[Project Status],"In Progress"))</f>
        <v/>
      </c>
      <c r="E59" s="21" t="str">
        <f>IF($B59="","",COUNTIFS(ProjectTracker[Auditor],$B59,ProjectTracker[Project Status],"Hold"))</f>
        <v/>
      </c>
      <c r="F59" s="22" t="str">
        <f>IF($B59="","",COUNTIFS(ProjectTracker[Auditor],$B59,ProjectTracker[Project Status],"Completed"))</f>
        <v/>
      </c>
      <c r="G59" s="23" t="str">
        <f t="shared" si="1"/>
        <v/>
      </c>
      <c r="H59" s="1"/>
      <c r="I59" s="1"/>
      <c r="J59" s="1"/>
      <c r="K59" s="1"/>
      <c r="L59" s="1"/>
      <c r="M59" s="1"/>
      <c r="N59" s="1"/>
      <c r="O59" s="1"/>
      <c r="P59" s="1"/>
      <c r="AB59" t="str">
        <f>IF('Project Tracker'!D61="","",IF(COUNTIF('Project Tracker'!$D$2:D61,'Project Tracker'!D61)=1,MAX($AB$1:AB58)+1,""))</f>
        <v/>
      </c>
    </row>
    <row r="60" spans="1:28" ht="15" customHeight="1">
      <c r="A60" s="1"/>
      <c r="B60" s="24" t="str">
        <f>IFERROR(INDEX('Project Tracker'!$D$2:$D$5040,MATCH(46,$AB$2:$AB$5000,0)),"")</f>
        <v/>
      </c>
      <c r="C60" s="25" t="str">
        <f>IF($B60="","",COUNTIFS(ProjectTracker[Auditor],$B60,ProjectTracker[Project Status],"Not Started"))</f>
        <v/>
      </c>
      <c r="D60" s="26" t="str">
        <f>IF($B60="","",COUNTIFS(ProjectTracker[Auditor],$B60,ProjectTracker[Project Status],"In Progress"))</f>
        <v/>
      </c>
      <c r="E60" s="27" t="str">
        <f>IF($B60="","",COUNTIFS(ProjectTracker[Auditor],$B60,ProjectTracker[Project Status],"Hold"))</f>
        <v/>
      </c>
      <c r="F60" s="28" t="str">
        <f>IF($B60="","",COUNTIFS(ProjectTracker[Auditor],$B60,ProjectTracker[Project Status],"Completed"))</f>
        <v/>
      </c>
      <c r="G60" s="29" t="str">
        <f t="shared" si="1"/>
        <v/>
      </c>
      <c r="H60" s="1"/>
      <c r="I60" s="1"/>
      <c r="J60" s="1"/>
      <c r="K60" s="1"/>
      <c r="L60" s="1"/>
      <c r="M60" s="1"/>
      <c r="N60" s="1"/>
      <c r="O60" s="1"/>
      <c r="P60" s="1"/>
      <c r="AB60" t="str">
        <f>IF('Project Tracker'!D62="","",IF(COUNTIF('Project Tracker'!$D$2:D62,'Project Tracker'!D62)=1,MAX($AB$1:AB59)+1,""))</f>
        <v/>
      </c>
    </row>
    <row r="61" spans="1:28" ht="15" customHeight="1">
      <c r="A61" s="1"/>
      <c r="B61" s="18" t="str">
        <f>IFERROR(INDEX('Project Tracker'!$D$2:$D$5040,MATCH(47,$AB$2:$AB$5000,0)),"")</f>
        <v/>
      </c>
      <c r="C61" s="19" t="str">
        <f>IF($B61="","",COUNTIFS(ProjectTracker[Auditor],$B61,ProjectTracker[Project Status],"Not Started"))</f>
        <v/>
      </c>
      <c r="D61" s="20" t="str">
        <f>IF($B61="","",COUNTIFS(ProjectTracker[Auditor],$B61,ProjectTracker[Project Status],"In Progress"))</f>
        <v/>
      </c>
      <c r="E61" s="21" t="str">
        <f>IF($B61="","",COUNTIFS(ProjectTracker[Auditor],$B61,ProjectTracker[Project Status],"Hold"))</f>
        <v/>
      </c>
      <c r="F61" s="22" t="str">
        <f>IF($B61="","",COUNTIFS(ProjectTracker[Auditor],$B61,ProjectTracker[Project Status],"Completed"))</f>
        <v/>
      </c>
      <c r="G61" s="23" t="str">
        <f t="shared" si="1"/>
        <v/>
      </c>
      <c r="H61" s="1"/>
      <c r="I61" s="1"/>
      <c r="J61" s="1"/>
      <c r="K61" s="1"/>
      <c r="L61" s="1"/>
      <c r="M61" s="1"/>
      <c r="N61" s="1"/>
      <c r="O61" s="1"/>
      <c r="P61" s="1"/>
      <c r="AB61" t="str">
        <f>IF('Project Tracker'!D63="","",IF(COUNTIF('Project Tracker'!$D$2:D63,'Project Tracker'!D63)=1,MAX($AB$1:AB60)+1,""))</f>
        <v/>
      </c>
    </row>
    <row r="62" spans="1:28" ht="15" customHeight="1">
      <c r="A62" s="1"/>
      <c r="B62" s="24" t="str">
        <f>IFERROR(INDEX('Project Tracker'!$D$2:$D$5040,MATCH(48,$AB$2:$AB$5000,0)),"")</f>
        <v/>
      </c>
      <c r="C62" s="25" t="str">
        <f>IF($B62="","",COUNTIFS(ProjectTracker[Auditor],$B62,ProjectTracker[Project Status],"Not Started"))</f>
        <v/>
      </c>
      <c r="D62" s="26" t="str">
        <f>IF($B62="","",COUNTIFS(ProjectTracker[Auditor],$B62,ProjectTracker[Project Status],"In Progress"))</f>
        <v/>
      </c>
      <c r="E62" s="27" t="str">
        <f>IF($B62="","",COUNTIFS(ProjectTracker[Auditor],$B62,ProjectTracker[Project Status],"Hold"))</f>
        <v/>
      </c>
      <c r="F62" s="28" t="str">
        <f>IF($B62="","",COUNTIFS(ProjectTracker[Auditor],$B62,ProjectTracker[Project Status],"Completed"))</f>
        <v/>
      </c>
      <c r="G62" s="29" t="str">
        <f t="shared" si="1"/>
        <v/>
      </c>
      <c r="H62" s="1"/>
      <c r="I62" s="1"/>
      <c r="J62" s="1"/>
      <c r="K62" s="1"/>
      <c r="L62" s="1"/>
      <c r="M62" s="1"/>
      <c r="N62" s="1"/>
      <c r="O62" s="1"/>
      <c r="P62" s="1"/>
      <c r="AB62">
        <f>IF('Project Tracker'!D64="","",IF(COUNTIF('Project Tracker'!$D$2:D326,'Project Tracker'!D64)=1,MAX($AB$1:AB61)+1,""))</f>
        <v>16</v>
      </c>
    </row>
    <row r="63" spans="1:28" ht="15" customHeight="1">
      <c r="A63" s="1"/>
      <c r="B63" s="18" t="str">
        <f>IFERROR(INDEX('Project Tracker'!$D$2:$D$5040,MATCH(49,$AB$2:$AB$5000,0)),"")</f>
        <v/>
      </c>
      <c r="C63" s="19" t="str">
        <f>IF($B63="","",COUNTIFS(ProjectTracker[Auditor],$B63,ProjectTracker[Project Status],"Not Started"))</f>
        <v/>
      </c>
      <c r="D63" s="20" t="str">
        <f>IF($B63="","",COUNTIFS(ProjectTracker[Auditor],$B63,ProjectTracker[Project Status],"In Progress"))</f>
        <v/>
      </c>
      <c r="E63" s="21" t="str">
        <f>IF($B63="","",COUNTIFS(ProjectTracker[Auditor],$B63,ProjectTracker[Project Status],"Hold"))</f>
        <v/>
      </c>
      <c r="F63" s="22" t="str">
        <f>IF($B63="","",COUNTIFS(ProjectTracker[Auditor],$B63,ProjectTracker[Project Status],"Completed"))</f>
        <v/>
      </c>
      <c r="G63" s="23" t="str">
        <f t="shared" si="1"/>
        <v/>
      </c>
      <c r="H63" s="1"/>
      <c r="I63" s="1"/>
      <c r="J63" s="1"/>
      <c r="K63" s="1"/>
      <c r="L63" s="1"/>
      <c r="M63" s="1"/>
      <c r="N63" s="1"/>
      <c r="O63" s="1"/>
      <c r="P63" s="1"/>
      <c r="AB63" t="str">
        <f>IF('Project Tracker'!D65="","",IF(COUNTIF('Project Tracker'!$D$2:D65,'Project Tracker'!D65)=1,MAX($AB$1:AB62)+1,""))</f>
        <v/>
      </c>
    </row>
    <row r="64" spans="1:28" ht="15" customHeight="1">
      <c r="A64" s="1"/>
      <c r="B64" s="24" t="str">
        <f>IFERROR(INDEX('Project Tracker'!$D$2:$D$5040,MATCH(50,$AB$2:$AB$5000,0)),"")</f>
        <v/>
      </c>
      <c r="C64" s="25" t="str">
        <f>IF($B64="","",COUNTIFS(ProjectTracker[Auditor],$B64,ProjectTracker[Project Status],"Not Started"))</f>
        <v/>
      </c>
      <c r="D64" s="26" t="str">
        <f>IF($B64="","",COUNTIFS(ProjectTracker[Auditor],$B64,ProjectTracker[Project Status],"In Progress"))</f>
        <v/>
      </c>
      <c r="E64" s="27" t="str">
        <f>IF($B64="","",COUNTIFS(ProjectTracker[Auditor],$B64,ProjectTracker[Project Status],"Hold"))</f>
        <v/>
      </c>
      <c r="F64" s="28" t="str">
        <f>IF($B64="","",COUNTIFS(ProjectTracker[Auditor],$B64,ProjectTracker[Project Status],"Completed"))</f>
        <v/>
      </c>
      <c r="G64" s="29" t="str">
        <f t="shared" si="1"/>
        <v/>
      </c>
      <c r="H64" s="1"/>
      <c r="I64" s="1"/>
      <c r="J64" s="1"/>
      <c r="K64" s="1"/>
      <c r="L64" s="1"/>
      <c r="M64" s="1"/>
      <c r="N64" s="1"/>
      <c r="O64" s="1"/>
      <c r="P64" s="1"/>
      <c r="AB64">
        <f>IF('Project Tracker'!D66="","",IF(COUNTIF('Project Tracker'!$D$2:D66,'Project Tracker'!D66)=1,MAX($AB$1:AB63)+1,""))</f>
        <v>17</v>
      </c>
    </row>
    <row r="65" spans="1:28" ht="15" customHeight="1">
      <c r="A65" s="1"/>
      <c r="B65" s="18" t="str">
        <f>IFERROR(INDEX('Project Tracker'!$D$2:$D$5040,MATCH(51,$AB$2:$AB$5000,0)),"")</f>
        <v/>
      </c>
      <c r="C65" s="19" t="str">
        <f>IF($B65="","",COUNTIFS(ProjectTracker[Auditor],$B65,ProjectTracker[Project Status],"Not Started"))</f>
        <v/>
      </c>
      <c r="D65" s="20" t="str">
        <f>IF($B65="","",COUNTIFS(ProjectTracker[Auditor],$B65,ProjectTracker[Project Status],"In Progress"))</f>
        <v/>
      </c>
      <c r="E65" s="21" t="str">
        <f>IF($B65="","",COUNTIFS(ProjectTracker[Auditor],$B65,ProjectTracker[Project Status],"Hold"))</f>
        <v/>
      </c>
      <c r="F65" s="22" t="str">
        <f>IF($B65="","",COUNTIFS(ProjectTracker[Auditor],$B65,ProjectTracker[Project Status],"Completed"))</f>
        <v/>
      </c>
      <c r="G65" s="23" t="str">
        <f t="shared" si="1"/>
        <v/>
      </c>
      <c r="H65" s="1"/>
      <c r="I65" s="1"/>
      <c r="J65" s="1"/>
      <c r="K65" s="1"/>
      <c r="L65" s="1"/>
      <c r="M65" s="1"/>
      <c r="N65" s="1"/>
      <c r="O65" s="1"/>
      <c r="P65" s="1"/>
      <c r="AB65">
        <f>IF('Project Tracker'!D67="","",IF(COUNTIF('Project Tracker'!$D$2:D67,'Project Tracker'!D67)=1,MAX($AB$1:AB64)+1,""))</f>
        <v>18</v>
      </c>
    </row>
    <row r="66" spans="1:28" ht="15" customHeight="1">
      <c r="A66" s="1"/>
      <c r="B66" s="24" t="str">
        <f>IFERROR(INDEX('Project Tracker'!$D$2:$D$5040,MATCH(52,$AB$2:$AB$5000,0)),"")</f>
        <v/>
      </c>
      <c r="C66" s="25" t="str">
        <f>IF($B66="","",COUNTIFS(ProjectTracker[Auditor],$B66,ProjectTracker[Project Status],"Not Started"))</f>
        <v/>
      </c>
      <c r="D66" s="26" t="str">
        <f>IF($B66="","",COUNTIFS(ProjectTracker[Auditor],$B66,ProjectTracker[Project Status],"In Progress"))</f>
        <v/>
      </c>
      <c r="E66" s="27" t="str">
        <f>IF($B66="","",COUNTIFS(ProjectTracker[Auditor],$B66,ProjectTracker[Project Status],"Hold"))</f>
        <v/>
      </c>
      <c r="F66" s="28" t="str">
        <f>IF($B66="","",COUNTIFS(ProjectTracker[Auditor],$B66,ProjectTracker[Project Status],"Completed"))</f>
        <v/>
      </c>
      <c r="G66" s="29" t="str">
        <f t="shared" si="1"/>
        <v/>
      </c>
      <c r="H66" s="1"/>
      <c r="I66" s="1"/>
      <c r="J66" s="1"/>
      <c r="K66" s="1"/>
      <c r="L66" s="1"/>
      <c r="M66" s="1"/>
      <c r="N66" s="1"/>
      <c r="O66" s="1"/>
      <c r="P66" s="1"/>
      <c r="AB66" t="str">
        <f>IF('Project Tracker'!D68="","",IF(COUNTIF('Project Tracker'!$D$2:D68,'Project Tracker'!D68)=1,MAX($AB$1:AB65)+1,""))</f>
        <v/>
      </c>
    </row>
    <row r="67" spans="1:28" ht="15" customHeight="1">
      <c r="A67" s="1"/>
      <c r="B67" s="18" t="str">
        <f>IFERROR(INDEX('Project Tracker'!$D$2:$D$5040,MATCH(53,$AB$2:$AB$5000,0)),"")</f>
        <v/>
      </c>
      <c r="C67" s="19" t="str">
        <f>IF($B67="","",COUNTIFS(ProjectTracker[Auditor],$B67,ProjectTracker[Project Status],"Not Started"))</f>
        <v/>
      </c>
      <c r="D67" s="20" t="str">
        <f>IF($B67="","",COUNTIFS(ProjectTracker[Auditor],$B67,ProjectTracker[Project Status],"In Progress"))</f>
        <v/>
      </c>
      <c r="E67" s="21" t="str">
        <f>IF($B67="","",COUNTIFS(ProjectTracker[Auditor],$B67,ProjectTracker[Project Status],"Hold"))</f>
        <v/>
      </c>
      <c r="F67" s="22" t="str">
        <f>IF($B67="","",COUNTIFS(ProjectTracker[Auditor],$B67,ProjectTracker[Project Status],"Completed"))</f>
        <v/>
      </c>
      <c r="G67" s="23" t="str">
        <f t="shared" si="1"/>
        <v/>
      </c>
      <c r="H67" s="1"/>
      <c r="I67" s="1"/>
      <c r="J67" s="1"/>
      <c r="K67" s="1"/>
      <c r="L67" s="1"/>
      <c r="M67" s="1"/>
      <c r="N67" s="1"/>
      <c r="O67" s="1"/>
      <c r="P67" s="1"/>
      <c r="AB67">
        <f>IF('Project Tracker'!D69="","",IF(COUNTIF('Project Tracker'!$D$2:D69,'Project Tracker'!D69)=1,MAX($AB$1:AB66)+1,""))</f>
        <v>19</v>
      </c>
    </row>
    <row r="68" spans="1:28" ht="15" customHeight="1">
      <c r="A68" s="1"/>
      <c r="B68" s="24" t="str">
        <f>IFERROR(INDEX('Project Tracker'!$D$2:$D$5040,MATCH(54,$AB$2:$AB$5000,0)),"")</f>
        <v/>
      </c>
      <c r="C68" s="25" t="str">
        <f>IF($B68="","",COUNTIFS(ProjectTracker[Auditor],$B68,ProjectTracker[Project Status],"Not Started"))</f>
        <v/>
      </c>
      <c r="D68" s="26" t="str">
        <f>IF($B68="","",COUNTIFS(ProjectTracker[Auditor],$B68,ProjectTracker[Project Status],"In Progress"))</f>
        <v/>
      </c>
      <c r="E68" s="27" t="str">
        <f>IF($B68="","",COUNTIFS(ProjectTracker[Auditor],$B68,ProjectTracker[Project Status],"Hold"))</f>
        <v/>
      </c>
      <c r="F68" s="28" t="str">
        <f>IF($B68="","",COUNTIFS(ProjectTracker[Auditor],$B68,ProjectTracker[Project Status],"Completed"))</f>
        <v/>
      </c>
      <c r="G68" s="29" t="str">
        <f t="shared" si="1"/>
        <v/>
      </c>
      <c r="H68" s="1"/>
      <c r="I68" s="1"/>
      <c r="J68" s="1"/>
      <c r="K68" s="1"/>
      <c r="L68" s="1"/>
      <c r="M68" s="1"/>
      <c r="N68" s="1"/>
      <c r="O68" s="1"/>
      <c r="P68" s="1"/>
      <c r="AB68">
        <f>IF('Project Tracker'!D70="","",IF(COUNTIF('Project Tracker'!$D$2:D70,'Project Tracker'!D70)=1,MAX($AB$1:AB67)+1,""))</f>
        <v>20</v>
      </c>
    </row>
    <row r="69" spans="1:28" ht="15" customHeight="1">
      <c r="A69" s="1"/>
      <c r="B69" s="18" t="str">
        <f>IFERROR(INDEX('Project Tracker'!$D$2:$D$5040,MATCH(55,$AB$2:$AB$5000,0)),"")</f>
        <v/>
      </c>
      <c r="C69" s="19" t="str">
        <f>IF($B69="","",COUNTIFS(ProjectTracker[Auditor],$B69,ProjectTracker[Project Status],"Not Started"))</f>
        <v/>
      </c>
      <c r="D69" s="20" t="str">
        <f>IF($B69="","",COUNTIFS(ProjectTracker[Auditor],$B69,ProjectTracker[Project Status],"In Progress"))</f>
        <v/>
      </c>
      <c r="E69" s="21" t="str">
        <f>IF($B69="","",COUNTIFS(ProjectTracker[Auditor],$B69,ProjectTracker[Project Status],"Hold"))</f>
        <v/>
      </c>
      <c r="F69" s="22" t="str">
        <f>IF($B69="","",COUNTIFS(ProjectTracker[Auditor],$B69,ProjectTracker[Project Status],"Completed"))</f>
        <v/>
      </c>
      <c r="G69" s="23" t="str">
        <f t="shared" si="1"/>
        <v/>
      </c>
      <c r="H69" s="1"/>
      <c r="I69" s="1"/>
      <c r="J69" s="1"/>
      <c r="K69" s="1"/>
      <c r="L69" s="1"/>
      <c r="M69" s="1"/>
      <c r="N69" s="1"/>
      <c r="O69" s="1"/>
      <c r="P69" s="1"/>
      <c r="AB69" t="str">
        <f>IF('Project Tracker'!D71="","",IF(COUNTIF('Project Tracker'!$D$2:D71,'Project Tracker'!D71)=1,MAX($AB$1:AB68)+1,""))</f>
        <v/>
      </c>
    </row>
    <row r="70" spans="1:28" ht="15" customHeight="1">
      <c r="A70" s="1"/>
      <c r="B70" s="24" t="str">
        <f>IFERROR(INDEX('Project Tracker'!$D$2:$D$5040,MATCH(56,$AB$2:$AB$5000,0)),"")</f>
        <v/>
      </c>
      <c r="C70" s="25" t="str">
        <f>IF($B70="","",COUNTIFS(ProjectTracker[Auditor],$B70,ProjectTracker[Project Status],"Not Started"))</f>
        <v/>
      </c>
      <c r="D70" s="26" t="str">
        <f>IF($B70="","",COUNTIFS(ProjectTracker[Auditor],$B70,ProjectTracker[Project Status],"In Progress"))</f>
        <v/>
      </c>
      <c r="E70" s="27" t="str">
        <f>IF($B70="","",COUNTIFS(ProjectTracker[Auditor],$B70,ProjectTracker[Project Status],"Hold"))</f>
        <v/>
      </c>
      <c r="F70" s="28" t="str">
        <f>IF($B70="","",COUNTIFS(ProjectTracker[Auditor],$B70,ProjectTracker[Project Status],"Completed"))</f>
        <v/>
      </c>
      <c r="G70" s="29" t="str">
        <f t="shared" si="1"/>
        <v/>
      </c>
      <c r="H70" s="1"/>
      <c r="I70" s="1"/>
      <c r="J70" s="1"/>
      <c r="K70" s="1"/>
      <c r="L70" s="1"/>
      <c r="M70" s="1"/>
      <c r="N70" s="1"/>
      <c r="O70" s="1"/>
      <c r="P70" s="1"/>
      <c r="AB70">
        <f>IF('Project Tracker'!D72="","",IF(COUNTIF('Project Tracker'!$D$2:D72,'Project Tracker'!D72)=1,MAX($AB$1:AB69)+1,""))</f>
        <v>21</v>
      </c>
    </row>
    <row r="71" spans="1:28" ht="15" customHeight="1">
      <c r="A71" s="1"/>
      <c r="B71" s="18" t="str">
        <f>IFERROR(INDEX('Project Tracker'!$D$2:$D$5040,MATCH(57,$AB$2:$AB$5000,0)),"")</f>
        <v/>
      </c>
      <c r="C71" s="19" t="str">
        <f>IF($B71="","",COUNTIFS(ProjectTracker[Auditor],$B71,ProjectTracker[Project Status],"Not Started"))</f>
        <v/>
      </c>
      <c r="D71" s="20" t="str">
        <f>IF($B71="","",COUNTIFS(ProjectTracker[Auditor],$B71,ProjectTracker[Project Status],"In Progress"))</f>
        <v/>
      </c>
      <c r="E71" s="21" t="str">
        <f>IF($B71="","",COUNTIFS(ProjectTracker[Auditor],$B71,ProjectTracker[Project Status],"Hold"))</f>
        <v/>
      </c>
      <c r="F71" s="22" t="str">
        <f>IF($B71="","",COUNTIFS(ProjectTracker[Auditor],$B71,ProjectTracker[Project Status],"Completed"))</f>
        <v/>
      </c>
      <c r="G71" s="23" t="str">
        <f t="shared" si="1"/>
        <v/>
      </c>
      <c r="H71" s="1"/>
      <c r="I71" s="1"/>
      <c r="J71" s="1"/>
      <c r="K71" s="1"/>
      <c r="L71" s="1"/>
      <c r="M71" s="1"/>
      <c r="N71" s="1"/>
      <c r="O71" s="1"/>
      <c r="P71" s="1"/>
      <c r="AB71" t="str">
        <f>IF('Project Tracker'!D73="","",IF(COUNTIF('Project Tracker'!$D$2:D73,'Project Tracker'!D73)=1,MAX($AB$1:AB70)+1,""))</f>
        <v/>
      </c>
    </row>
    <row r="72" spans="1:28" ht="15" customHeight="1">
      <c r="A72" s="1"/>
      <c r="B72" s="24" t="str">
        <f>IFERROR(INDEX('Project Tracker'!$D$2:$D$5040,MATCH(58,$AB$2:$AB$5000,0)),"")</f>
        <v/>
      </c>
      <c r="C72" s="25" t="str">
        <f>IF($B72="","",COUNTIFS(ProjectTracker[Auditor],$B72,ProjectTracker[Project Status],"Not Started"))</f>
        <v/>
      </c>
      <c r="D72" s="26" t="str">
        <f>IF($B72="","",COUNTIFS(ProjectTracker[Auditor],$B72,ProjectTracker[Project Status],"In Progress"))</f>
        <v/>
      </c>
      <c r="E72" s="27" t="str">
        <f>IF($B72="","",COUNTIFS(ProjectTracker[Auditor],$B72,ProjectTracker[Project Status],"Hold"))</f>
        <v/>
      </c>
      <c r="F72" s="28" t="str">
        <f>IF($B72="","",COUNTIFS(ProjectTracker[Auditor],$B72,ProjectTracker[Project Status],"Completed"))</f>
        <v/>
      </c>
      <c r="G72" s="29" t="str">
        <f t="shared" si="1"/>
        <v/>
      </c>
      <c r="H72" s="1"/>
      <c r="I72" s="1"/>
      <c r="J72" s="1"/>
      <c r="K72" s="1"/>
      <c r="L72" s="1"/>
      <c r="M72" s="1"/>
      <c r="N72" s="1"/>
      <c r="O72" s="1"/>
      <c r="P72" s="1"/>
      <c r="AB72" t="str">
        <f>IF('Project Tracker'!D74="","",IF(COUNTIF('Project Tracker'!$D$2:D74,'Project Tracker'!D74)=1,MAX($AB$1:AB71)+1,""))</f>
        <v/>
      </c>
    </row>
    <row r="73" spans="1:28" ht="15" customHeight="1">
      <c r="A73" s="1"/>
      <c r="B73" s="18" t="str">
        <f>IFERROR(INDEX('Project Tracker'!$D$2:$D$5040,MATCH(59,$AB$2:$AB$5000,0)),"")</f>
        <v/>
      </c>
      <c r="C73" s="19" t="str">
        <f>IF($B73="","",COUNTIFS(ProjectTracker[Auditor],$B73,ProjectTracker[Project Status],"Not Started"))</f>
        <v/>
      </c>
      <c r="D73" s="20" t="str">
        <f>IF($B73="","",COUNTIFS(ProjectTracker[Auditor],$B73,ProjectTracker[Project Status],"In Progress"))</f>
        <v/>
      </c>
      <c r="E73" s="21" t="str">
        <f>IF($B73="","",COUNTIFS(ProjectTracker[Auditor],$B73,ProjectTracker[Project Status],"Hold"))</f>
        <v/>
      </c>
      <c r="F73" s="22" t="str">
        <f>IF($B73="","",COUNTIFS(ProjectTracker[Auditor],$B73,ProjectTracker[Project Status],"Completed"))</f>
        <v/>
      </c>
      <c r="G73" s="23" t="str">
        <f t="shared" si="1"/>
        <v/>
      </c>
      <c r="H73" s="1"/>
      <c r="I73" s="1"/>
      <c r="J73" s="1"/>
      <c r="K73" s="1"/>
      <c r="L73" s="1"/>
      <c r="M73" s="1"/>
      <c r="N73" s="1"/>
      <c r="O73" s="1"/>
      <c r="P73" s="1"/>
      <c r="AB73" t="str">
        <f>IF('Project Tracker'!D75="","",IF(COUNTIF('Project Tracker'!$D$2:D75,'Project Tracker'!D75)=1,MAX($AB$1:AB72)+1,""))</f>
        <v/>
      </c>
    </row>
    <row r="74" spans="1:28" ht="15" customHeight="1">
      <c r="A74" s="1"/>
      <c r="B74" s="24" t="str">
        <f>IFERROR(INDEX('Project Tracker'!$D$2:$D$5040,MATCH(60,$AB$2:$AB$5000,0)),"")</f>
        <v/>
      </c>
      <c r="C74" s="25" t="str">
        <f>IF($B74="","",COUNTIFS(ProjectTracker[Auditor],$B74,ProjectTracker[Project Status],"Not Started"))</f>
        <v/>
      </c>
      <c r="D74" s="26" t="str">
        <f>IF($B74="","",COUNTIFS(ProjectTracker[Auditor],$B74,ProjectTracker[Project Status],"In Progress"))</f>
        <v/>
      </c>
      <c r="E74" s="27" t="str">
        <f>IF($B74="","",COUNTIFS(ProjectTracker[Auditor],$B74,ProjectTracker[Project Status],"Hold"))</f>
        <v/>
      </c>
      <c r="F74" s="28" t="str">
        <f>IF($B74="","",COUNTIFS(ProjectTracker[Auditor],$B74,ProjectTracker[Project Status],"Completed"))</f>
        <v/>
      </c>
      <c r="G74" s="29" t="str">
        <f t="shared" si="1"/>
        <v/>
      </c>
      <c r="H74" s="1"/>
      <c r="I74" s="1"/>
      <c r="J74" s="1"/>
      <c r="K74" s="1"/>
      <c r="L74" s="1"/>
      <c r="M74" s="1"/>
      <c r="N74" s="1"/>
      <c r="O74" s="1"/>
      <c r="P74" s="1"/>
      <c r="AB74" t="str">
        <f>IF('Project Tracker'!D76="","",IF(COUNTIF('Project Tracker'!$D$2:D76,'Project Tracker'!D76)=1,MAX($AB$1:AB73)+1,""))</f>
        <v/>
      </c>
    </row>
    <row r="75" spans="1: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AB75" t="str">
        <f>IF('Project Tracker'!D77="","",IF(COUNTIF('Project Tracker'!$D$2:D77,'Project Tracker'!D77)=1,MAX($AB$1:AB74)+1,""))</f>
        <v/>
      </c>
    </row>
    <row r="76" spans="1:28" ht="15" customHeight="1">
      <c r="A76" s="1"/>
      <c r="B76" s="76" t="s">
        <v>15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1"/>
      <c r="AB76" t="str">
        <f>IF('Project Tracker'!D78="","",IF(COUNTIF('Project Tracker'!$D$2:D78,'Project Tracker'!D78)=1,MAX($AB$1:AB75)+1,""))</f>
        <v/>
      </c>
    </row>
    <row r="77" spans="1: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AB77">
        <f>IF('Project Tracker'!D79="","",IF(COUNTIF('Project Tracker'!$D$2:D79,'Project Tracker'!D79)=1,MAX($AB$1:AB76)+1,""))</f>
        <v>22</v>
      </c>
    </row>
    <row r="78" spans="1: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AB78">
        <f>IF('Project Tracker'!D80="","",IF(COUNTIF('Project Tracker'!$D$2:D80,'Project Tracker'!D80)=1,MAX($AB$1:AB77)+1,""))</f>
        <v>23</v>
      </c>
    </row>
    <row r="79" spans="1:28" ht="15" customHeight="1">
      <c r="AB79">
        <f>IF('Project Tracker'!D81="","",IF(COUNTIF('Project Tracker'!$D$2:D81,'Project Tracker'!D81)=1,MAX($AB$1:AB78)+1,""))</f>
        <v>24</v>
      </c>
    </row>
    <row r="80" spans="1:28" ht="15" customHeight="1">
      <c r="AB80" t="str">
        <f>IF('Project Tracker'!D82="","",IF(COUNTIF('Project Tracker'!$D$2:D82,'Project Tracker'!D82)=1,MAX($AB$1:AB79)+1,""))</f>
        <v/>
      </c>
    </row>
    <row r="81" spans="28:28" ht="15" customHeight="1">
      <c r="AB81" t="str">
        <f>IF('Project Tracker'!D83="","",IF(COUNTIF('Project Tracker'!$D$2:D83,'Project Tracker'!D83)=1,MAX($AB$1:AB80)+1,""))</f>
        <v/>
      </c>
    </row>
    <row r="82" spans="28:28" ht="15" customHeight="1">
      <c r="AB82">
        <f>IF('Project Tracker'!D84="","",IF(COUNTIF('Project Tracker'!$D$2:D84,'Project Tracker'!D84)=1,MAX($AB$1:AB81)+1,""))</f>
        <v>25</v>
      </c>
    </row>
    <row r="83" spans="28:28" ht="15" customHeight="1">
      <c r="AB83" t="str">
        <f>IF('Project Tracker'!D85="","",IF(COUNTIF('Project Tracker'!$D$2:D85,'Project Tracker'!D85)=1,MAX($AB$1:AB82)+1,""))</f>
        <v/>
      </c>
    </row>
    <row r="84" spans="28:28" ht="15" customHeight="1">
      <c r="AB84" t="str">
        <f>IF('Project Tracker'!D86="","",IF(COUNTIF('Project Tracker'!$D$2:D86,'Project Tracker'!D86)=1,MAX($AB$1:AB83)+1,""))</f>
        <v/>
      </c>
    </row>
    <row r="85" spans="28:28" ht="15" customHeight="1">
      <c r="AB85" t="str">
        <f>IF('Project Tracker'!D87="","",IF(COUNTIF('Project Tracker'!$D$2:D87,'Project Tracker'!D87)=1,MAX($AB$1:AB84)+1,""))</f>
        <v/>
      </c>
    </row>
    <row r="86" spans="28:28" ht="15" customHeight="1">
      <c r="AB86">
        <f>IF('Project Tracker'!D88="","",IF(COUNTIF('Project Tracker'!$D$2:D88,'Project Tracker'!D88)=1,MAX($AB$1:AB85)+1,""))</f>
        <v>26</v>
      </c>
    </row>
    <row r="87" spans="28:28" ht="15" customHeight="1">
      <c r="AB87" t="str">
        <f>IF('Project Tracker'!D89="","",IF(COUNTIF('Project Tracker'!$D$2:D89,'Project Tracker'!D89)=1,MAX($AB$1:AB86)+1,""))</f>
        <v/>
      </c>
    </row>
    <row r="88" spans="28:28" ht="15" customHeight="1">
      <c r="AB88" t="str">
        <f>IF('Project Tracker'!D90="","",IF(COUNTIF('Project Tracker'!$D$2:D90,'Project Tracker'!D90)=1,MAX($AB$1:AB87)+1,""))</f>
        <v/>
      </c>
    </row>
    <row r="89" spans="28:28" ht="15" customHeight="1">
      <c r="AB89" t="str">
        <f>IF('Project Tracker'!D91="","",IF(COUNTIF('Project Tracker'!$D$2:D91,'Project Tracker'!D91)=1,MAX($AB$1:AB88)+1,""))</f>
        <v/>
      </c>
    </row>
    <row r="90" spans="28:28" ht="15" customHeight="1">
      <c r="AB90" t="str">
        <f>IF('Project Tracker'!D92="","",IF(COUNTIF('Project Tracker'!$D$2:D92,'Project Tracker'!D92)=1,MAX($AB$1:AB89)+1,""))</f>
        <v/>
      </c>
    </row>
    <row r="91" spans="28:28" ht="15" customHeight="1">
      <c r="AB91" t="str">
        <f>IF('Project Tracker'!D93="","",IF(COUNTIF('Project Tracker'!$D$2:D93,'Project Tracker'!D93)=1,MAX($AB$1:AB90)+1,""))</f>
        <v/>
      </c>
    </row>
    <row r="92" spans="28:28" ht="15" customHeight="1">
      <c r="AB92">
        <f>IF('Project Tracker'!D94="","",IF(COUNTIF('Project Tracker'!$D$2:D94,'Project Tracker'!D94)=1,MAX($AB$1:AB91)+1,""))</f>
        <v>27</v>
      </c>
    </row>
    <row r="93" spans="28:28" ht="15" customHeight="1">
      <c r="AB93" t="str">
        <f>IF('Project Tracker'!D95="","",IF(COUNTIF('Project Tracker'!$D$2:D95,'Project Tracker'!D95)=1,MAX($AB$1:AB92)+1,""))</f>
        <v/>
      </c>
    </row>
    <row r="94" spans="28:28" ht="15" customHeight="1">
      <c r="AB94">
        <f>IF('Project Tracker'!D96="","",IF(COUNTIF('Project Tracker'!$D$2:D96,'Project Tracker'!D96)=1,MAX($AB$1:AB93)+1,""))</f>
        <v>28</v>
      </c>
    </row>
    <row r="95" spans="28:28" ht="15" customHeight="1">
      <c r="AB95" t="str">
        <f>IF('Project Tracker'!D97="","",IF(COUNTIF('Project Tracker'!$D$2:D97,'Project Tracker'!D97)=1,MAX($AB$1:AB94)+1,""))</f>
        <v/>
      </c>
    </row>
    <row r="96" spans="28:28" ht="15" customHeight="1">
      <c r="AB96" t="str">
        <f>IF('Project Tracker'!D98="","",IF(COUNTIF('Project Tracker'!$D$2:D98,'Project Tracker'!D98)=1,MAX($AB$1:AB95)+1,""))</f>
        <v/>
      </c>
    </row>
    <row r="97" spans="28:28" ht="15" customHeight="1">
      <c r="AB97" t="str">
        <f>IF('Project Tracker'!D99="","",IF(COUNTIF('Project Tracker'!$D$2:D99,'Project Tracker'!D99)=1,MAX($AB$1:AB96)+1,""))</f>
        <v/>
      </c>
    </row>
    <row r="98" spans="28:28" ht="15" customHeight="1">
      <c r="AB98" t="str">
        <f>IF('Project Tracker'!D100="","",IF(COUNTIF('Project Tracker'!$D$2:D100,'Project Tracker'!D100)=1,MAX($AB$1:AB97)+1,""))</f>
        <v/>
      </c>
    </row>
    <row r="99" spans="28:28" ht="15" customHeight="1">
      <c r="AB99" t="str">
        <f>IF('Project Tracker'!D101="","",IF(COUNTIF('Project Tracker'!$D$2:D101,'Project Tracker'!D101)=1,MAX($AB$1:AB98)+1,""))</f>
        <v/>
      </c>
    </row>
    <row r="100" spans="28:28" ht="15" customHeight="1">
      <c r="AB100" t="str">
        <f>IF('Project Tracker'!D102="","",IF(COUNTIF('Project Tracker'!$D$2:D102,'Project Tracker'!D102)=1,MAX($AB$1:AB99)+1,""))</f>
        <v/>
      </c>
    </row>
    <row r="101" spans="28:28" ht="15" customHeight="1">
      <c r="AB101" t="str">
        <f>IF('Project Tracker'!D103="","",IF(COUNTIF('Project Tracker'!$D$2:D103,'Project Tracker'!D103)=1,MAX($AB$1:AB100)+1,""))</f>
        <v/>
      </c>
    </row>
    <row r="102" spans="28:28" ht="15" customHeight="1">
      <c r="AB102">
        <f>IF('Project Tracker'!D104="","",IF(COUNTIF('Project Tracker'!$D$2:D104,'Project Tracker'!D104)=1,MAX($AB$1:AB101)+1,""))</f>
        <v>29</v>
      </c>
    </row>
    <row r="103" spans="28:28" ht="15" customHeight="1">
      <c r="AB103" t="str">
        <f>IF('Project Tracker'!D105="","",IF(COUNTIF('Project Tracker'!$D$2:D105,'Project Tracker'!D105)=1,MAX($AB$1:AB102)+1,""))</f>
        <v/>
      </c>
    </row>
    <row r="104" spans="28:28" ht="15" customHeight="1">
      <c r="AB104" t="str">
        <f>IF('Project Tracker'!D106="","",IF(COUNTIF('Project Tracker'!$D$2:D106,'Project Tracker'!D106)=1,MAX($AB$1:AB103)+1,""))</f>
        <v/>
      </c>
    </row>
    <row r="105" spans="28:28" ht="15" customHeight="1">
      <c r="AB105" t="str">
        <f>IF('Project Tracker'!D107="","",IF(COUNTIF('Project Tracker'!$D$2:D107,'Project Tracker'!D107)=1,MAX($AB$1:AB104)+1,""))</f>
        <v/>
      </c>
    </row>
    <row r="106" spans="28:28" ht="15" customHeight="1">
      <c r="AB106" t="str">
        <f>IF('Project Tracker'!D108="","",IF(COUNTIF('Project Tracker'!$D$2:D108,'Project Tracker'!D108)=1,MAX($AB$1:AB105)+1,""))</f>
        <v/>
      </c>
    </row>
    <row r="107" spans="28:28" ht="15" customHeight="1">
      <c r="AB107" t="str">
        <f>IF('Project Tracker'!D109="","",IF(COUNTIF('Project Tracker'!$D$2:D109,'Project Tracker'!D109)=1,MAX($AB$1:AB106)+1,""))</f>
        <v/>
      </c>
    </row>
    <row r="108" spans="28:28" ht="15" customHeight="1">
      <c r="AB108">
        <f>IF('Project Tracker'!D110="","",IF(COUNTIF('Project Tracker'!$D$2:D110,'Project Tracker'!D110)=1,MAX($AB$1:AB107)+1,""))</f>
        <v>30</v>
      </c>
    </row>
    <row r="109" spans="28:28" ht="15" customHeight="1">
      <c r="AB109" t="str">
        <f>IF('Project Tracker'!D111="","",IF(COUNTIF('Project Tracker'!$D$2:D111,'Project Tracker'!D111)=1,MAX($AB$1:AB108)+1,""))</f>
        <v/>
      </c>
    </row>
    <row r="110" spans="28:28" ht="15" customHeight="1">
      <c r="AB110" t="str">
        <f>IF('Project Tracker'!D112="","",IF(COUNTIF('Project Tracker'!$D$2:D112,'Project Tracker'!D112)=1,MAX($AB$1:AB109)+1,""))</f>
        <v/>
      </c>
    </row>
    <row r="111" spans="28:28" ht="15" customHeight="1">
      <c r="AB111" t="str">
        <f>IF('Project Tracker'!D113="","",IF(COUNTIF('Project Tracker'!$D$2:D113,'Project Tracker'!D113)=1,MAX($AB$1:AB110)+1,""))</f>
        <v/>
      </c>
    </row>
    <row r="112" spans="28:28" ht="15" customHeight="1">
      <c r="AB112">
        <f>IF('Project Tracker'!D114="","",IF(COUNTIF('Project Tracker'!$D$2:D114,'Project Tracker'!D114)=1,MAX($AB$1:AB111)+1,""))</f>
        <v>31</v>
      </c>
    </row>
    <row r="113" spans="28:28" ht="15" customHeight="1">
      <c r="AB113" t="str">
        <f>IF('Project Tracker'!D115="","",IF(COUNTIF('Project Tracker'!$D$2:D115,'Project Tracker'!D115)=1,MAX($AB$1:AB112)+1,""))</f>
        <v/>
      </c>
    </row>
    <row r="114" spans="28:28" ht="15" customHeight="1">
      <c r="AB114" t="str">
        <f>IF('Project Tracker'!D116="","",IF(COUNTIF('Project Tracker'!$D$2:D116,'Project Tracker'!D116)=1,MAX($AB$1:AB113)+1,""))</f>
        <v/>
      </c>
    </row>
    <row r="115" spans="28:28" ht="15" customHeight="1">
      <c r="AB115" t="str">
        <f>IF('Project Tracker'!D117="","",IF(COUNTIF('Project Tracker'!$D$2:D117,'Project Tracker'!D117)=1,MAX($AB$1:AB114)+1,""))</f>
        <v/>
      </c>
    </row>
    <row r="116" spans="28:28" ht="15" customHeight="1">
      <c r="AB116" t="str">
        <f>IF('Project Tracker'!D118="","",IF(COUNTIF('Project Tracker'!$D$2:D118,'Project Tracker'!D118)=1,MAX($AB$1:AB115)+1,""))</f>
        <v/>
      </c>
    </row>
    <row r="117" spans="28:28" ht="15" customHeight="1">
      <c r="AB117" t="str">
        <f>IF('Project Tracker'!D119="","",IF(COUNTIF('Project Tracker'!$D$2:D119,'Project Tracker'!D119)=1,MAX($AB$1:AB116)+1,""))</f>
        <v/>
      </c>
    </row>
    <row r="118" spans="28:28" ht="15" customHeight="1">
      <c r="AB118" t="str">
        <f>IF('Project Tracker'!D120="","",IF(COUNTIF('Project Tracker'!$D$2:D120,'Project Tracker'!D120)=1,MAX($AB$1:AB117)+1,""))</f>
        <v/>
      </c>
    </row>
    <row r="119" spans="28:28" ht="15" customHeight="1">
      <c r="AB119" t="str">
        <f>IF('Project Tracker'!D121="","",IF(COUNTIF('Project Tracker'!$D$2:D121,'Project Tracker'!D121)=1,MAX($AB$1:AB118)+1,""))</f>
        <v/>
      </c>
    </row>
    <row r="120" spans="28:28" ht="15" customHeight="1">
      <c r="AB120">
        <f>IF('Project Tracker'!D122="","",IF(COUNTIF('Project Tracker'!$D$2:D122,'Project Tracker'!D122)=1,MAX($AB$1:AB119)+1,""))</f>
        <v>32</v>
      </c>
    </row>
    <row r="121" spans="28:28" ht="15" customHeight="1">
      <c r="AB121" t="str">
        <f>IF('Project Tracker'!D123="","",IF(COUNTIF('Project Tracker'!$D$2:D123,'Project Tracker'!D123)=1,MAX($AB$1:AB120)+1,""))</f>
        <v/>
      </c>
    </row>
    <row r="122" spans="28:28" ht="15" customHeight="1">
      <c r="AB122" t="str">
        <f>IF('Project Tracker'!D124="","",IF(COUNTIF('Project Tracker'!$D$2:D124,'Project Tracker'!D124)=1,MAX($AB$1:AB121)+1,""))</f>
        <v/>
      </c>
    </row>
    <row r="123" spans="28:28" ht="15" customHeight="1">
      <c r="AB123" t="str">
        <f>IF('Project Tracker'!D125="","",IF(COUNTIF('Project Tracker'!$D$2:D125,'Project Tracker'!D125)=1,MAX($AB$1:AB122)+1,""))</f>
        <v/>
      </c>
    </row>
    <row r="124" spans="28:28" ht="15" customHeight="1">
      <c r="AB124" t="str">
        <f>IF('Project Tracker'!D126="","",IF(COUNTIF('Project Tracker'!$D$2:D126,'Project Tracker'!D126)=1,MAX($AB$1:AB123)+1,""))</f>
        <v/>
      </c>
    </row>
    <row r="125" spans="28:28" ht="15" customHeight="1">
      <c r="AB125" t="str">
        <f>IF('Project Tracker'!D127="","",IF(COUNTIF('Project Tracker'!$D$2:D127,'Project Tracker'!D127)=1,MAX($AB$1:AB124)+1,""))</f>
        <v/>
      </c>
    </row>
    <row r="126" spans="28:28" ht="15" customHeight="1">
      <c r="AB126" t="str">
        <f>IF('Project Tracker'!D128="","",IF(COUNTIF('Project Tracker'!$D$2:D128,'Project Tracker'!D128)=1,MAX($AB$1:AB125)+1,""))</f>
        <v/>
      </c>
    </row>
    <row r="127" spans="28:28" ht="15" customHeight="1">
      <c r="AB127" t="str">
        <f>IF('Project Tracker'!D129="","",IF(COUNTIF('Project Tracker'!$D$2:D129,'Project Tracker'!D129)=1,MAX($AB$1:AB126)+1,""))</f>
        <v/>
      </c>
    </row>
    <row r="128" spans="28:28" ht="15" customHeight="1">
      <c r="AB128" t="str">
        <f>IF('Project Tracker'!D130="","",IF(COUNTIF('Project Tracker'!$D$2:D130,'Project Tracker'!D130)=1,MAX($AB$1:AB127)+1,""))</f>
        <v/>
      </c>
    </row>
    <row r="129" spans="28:28" ht="15" customHeight="1">
      <c r="AB129" t="str">
        <f>IF('Project Tracker'!D131="","",IF(COUNTIF('Project Tracker'!$D$2:D131,'Project Tracker'!D131)=1,MAX($AB$1:AB128)+1,""))</f>
        <v/>
      </c>
    </row>
    <row r="130" spans="28:28" ht="15" customHeight="1">
      <c r="AB130">
        <f>IF('Project Tracker'!D132="","",IF(COUNTIF('Project Tracker'!$D$2:D132,'Project Tracker'!D132)=1,MAX($AB$1:AB129)+1,""))</f>
        <v>33</v>
      </c>
    </row>
    <row r="131" spans="28:28" ht="15" customHeight="1">
      <c r="AB131" t="str">
        <f>IF('Project Tracker'!D133="","",IF(COUNTIF('Project Tracker'!$D$2:D133,'Project Tracker'!D133)=1,MAX($AB$1:AB130)+1,""))</f>
        <v/>
      </c>
    </row>
    <row r="132" spans="28:28" ht="15" customHeight="1">
      <c r="AB132">
        <f>IF('Project Tracker'!D134="","",IF(COUNTIF('Project Tracker'!$D$2:D134,'Project Tracker'!D134)=1,MAX($AB$1:AB131)+1,""))</f>
        <v>34</v>
      </c>
    </row>
    <row r="133" spans="28:28" ht="15" customHeight="1">
      <c r="AB133" t="str">
        <f>IF('Project Tracker'!D135="","",IF(COUNTIF('Project Tracker'!$D$2:D135,'Project Tracker'!D135)=1,MAX($AB$1:AB132)+1,""))</f>
        <v/>
      </c>
    </row>
    <row r="134" spans="28:28" ht="15" customHeight="1">
      <c r="AB134" t="str">
        <f>IF('Project Tracker'!D136="","",IF(COUNTIF('Project Tracker'!$D$2:D136,'Project Tracker'!D136)=1,MAX($AB$1:AB133)+1,""))</f>
        <v/>
      </c>
    </row>
    <row r="135" spans="28:28" ht="15" customHeight="1">
      <c r="AB135" t="str">
        <f>IF('Project Tracker'!D137="","",IF(COUNTIF('Project Tracker'!$D$2:D137,'Project Tracker'!D137)=1,MAX($AB$1:AB134)+1,""))</f>
        <v/>
      </c>
    </row>
    <row r="136" spans="28:28" ht="15" customHeight="1">
      <c r="AB136" t="str">
        <f>IF('Project Tracker'!D138="","",IF(COUNTIF('Project Tracker'!$D$2:D138,'Project Tracker'!D138)=1,MAX($AB$1:AB135)+1,""))</f>
        <v/>
      </c>
    </row>
    <row r="137" spans="28:28" ht="15" customHeight="1">
      <c r="AB137">
        <f>IF('Project Tracker'!D139="","",IF(COUNTIF('Project Tracker'!$D$2:D139,'Project Tracker'!D139)=1,MAX($AB$1:AB136)+1,""))</f>
        <v>35</v>
      </c>
    </row>
    <row r="138" spans="28:28" ht="15" customHeight="1">
      <c r="AB138" t="str">
        <f>IF('Project Tracker'!D140="","",IF(COUNTIF('Project Tracker'!$D$2:D140,'Project Tracker'!D140)=1,MAX($AB$1:AB137)+1,""))</f>
        <v/>
      </c>
    </row>
    <row r="139" spans="28:28" ht="15" customHeight="1">
      <c r="AB139" t="str">
        <f>IF('Project Tracker'!D141="","",IF(COUNTIF('Project Tracker'!$D$2:D141,'Project Tracker'!D141)=1,MAX($AB$1:AB138)+1,""))</f>
        <v/>
      </c>
    </row>
    <row r="140" spans="28:28" ht="15" customHeight="1">
      <c r="AB140" t="str">
        <f>IF('Project Tracker'!D142="","",IF(COUNTIF('Project Tracker'!$D$2:D142,'Project Tracker'!D142)=1,MAX($AB$1:AB139)+1,""))</f>
        <v/>
      </c>
    </row>
    <row r="141" spans="28:28" ht="15" customHeight="1">
      <c r="AB141" t="str">
        <f>IF('Project Tracker'!D143="","",IF(COUNTIF('Project Tracker'!$D$2:D143,'Project Tracker'!D143)=1,MAX($AB$1:AB140)+1,""))</f>
        <v/>
      </c>
    </row>
    <row r="142" spans="28:28" ht="15" customHeight="1">
      <c r="AB142" t="str">
        <f>IF('Project Tracker'!D144="","",IF(COUNTIF('Project Tracker'!$D$2:D144,'Project Tracker'!D144)=1,MAX($AB$1:AB141)+1,""))</f>
        <v/>
      </c>
    </row>
    <row r="143" spans="28:28" ht="15" customHeight="1">
      <c r="AB143" t="str">
        <f>IF('Project Tracker'!D145="","",IF(COUNTIF('Project Tracker'!$D$2:D145,'Project Tracker'!D145)=1,MAX($AB$1:AB142)+1,""))</f>
        <v/>
      </c>
    </row>
    <row r="144" spans="28:28" ht="15" customHeight="1">
      <c r="AB144">
        <f>IF('Project Tracker'!D146="","",IF(COUNTIF('Project Tracker'!$D$2:D146,'Project Tracker'!D146)=1,MAX($AB$1:AB143)+1,""))</f>
        <v>36</v>
      </c>
    </row>
    <row r="145" spans="28:28" ht="15" customHeight="1">
      <c r="AB145" t="str">
        <f>IF('Project Tracker'!D147="","",IF(COUNTIF('Project Tracker'!$D$2:D147,'Project Tracker'!D147)=1,MAX($AB$1:AB144)+1,""))</f>
        <v/>
      </c>
    </row>
    <row r="146" spans="28:28" ht="15" customHeight="1">
      <c r="AB146" t="str">
        <f>IF('Project Tracker'!D148="","",IF(COUNTIF('Project Tracker'!$D$2:D148,'Project Tracker'!D148)=1,MAX($AB$1:AB145)+1,""))</f>
        <v/>
      </c>
    </row>
    <row r="147" spans="28:28" ht="15" customHeight="1">
      <c r="AB147" t="str">
        <f>IF('Project Tracker'!D149="","",IF(COUNTIF('Project Tracker'!$D$2:D149,'Project Tracker'!D149)=1,MAX($AB$1:AB146)+1,""))</f>
        <v/>
      </c>
    </row>
    <row r="148" spans="28:28" ht="15" customHeight="1">
      <c r="AB148" t="str">
        <f>IF('Project Tracker'!D150="","",IF(COUNTIF('Project Tracker'!$D$2:D150,'Project Tracker'!D150)=1,MAX($AB$1:AB147)+1,""))</f>
        <v/>
      </c>
    </row>
    <row r="149" spans="28:28" ht="15" customHeight="1">
      <c r="AB149" t="str">
        <f>IF('Project Tracker'!D151="","",IF(COUNTIF('Project Tracker'!$D$2:D151,'Project Tracker'!D151)=1,MAX($AB$1:AB148)+1,""))</f>
        <v/>
      </c>
    </row>
    <row r="150" spans="28:28" ht="15" customHeight="1">
      <c r="AB150" t="str">
        <f>IF('Project Tracker'!D152="","",IF(COUNTIF('Project Tracker'!$D$2:D152,'Project Tracker'!D152)=1,MAX($AB$1:AB149)+1,""))</f>
        <v/>
      </c>
    </row>
    <row r="151" spans="28:28" ht="15" customHeight="1">
      <c r="AB151" t="str">
        <f>IF('Project Tracker'!D153="","",IF(COUNTIF('Project Tracker'!$D$2:D153,'Project Tracker'!D153)=1,MAX($AB$1:AB150)+1,""))</f>
        <v/>
      </c>
    </row>
    <row r="152" spans="28:28" ht="15" customHeight="1">
      <c r="AB152">
        <f>IF('Project Tracker'!D154="","",IF(COUNTIF('Project Tracker'!$D$2:D154,'Project Tracker'!D154)=1,MAX($AB$1:AB151)+1,""))</f>
        <v>37</v>
      </c>
    </row>
    <row r="153" spans="28:28" ht="15" customHeight="1">
      <c r="AB153" t="str">
        <f>IF('Project Tracker'!D155="","",IF(COUNTIF('Project Tracker'!$D$2:D155,'Project Tracker'!D155)=1,MAX($AB$1:AB152)+1,""))</f>
        <v/>
      </c>
    </row>
    <row r="154" spans="28:28" ht="15" customHeight="1">
      <c r="AB154" t="str">
        <f>IF('Project Tracker'!D156="","",IF(COUNTIF('Project Tracker'!$D$2:D156,'Project Tracker'!D156)=1,MAX($AB$1:AB153)+1,""))</f>
        <v/>
      </c>
    </row>
    <row r="155" spans="28:28" ht="15" customHeight="1">
      <c r="AB155">
        <f>IF('Project Tracker'!D157="","",IF(COUNTIF('Project Tracker'!$D$2:D157,'Project Tracker'!D157)=1,MAX($AB$1:AB154)+1,""))</f>
        <v>38</v>
      </c>
    </row>
    <row r="156" spans="28:28" ht="15" customHeight="1">
      <c r="AB156" t="str">
        <f>IF('Project Tracker'!D158="","",IF(COUNTIF('Project Tracker'!$D$2:D158,'Project Tracker'!D158)=1,MAX($AB$1:AB155)+1,""))</f>
        <v/>
      </c>
    </row>
    <row r="157" spans="28:28" ht="15" customHeight="1">
      <c r="AB157" t="str">
        <f>IF('Project Tracker'!D159="","",IF(COUNTIF('Project Tracker'!$D$2:D159,'Project Tracker'!D159)=1,MAX($AB$1:AB156)+1,""))</f>
        <v/>
      </c>
    </row>
    <row r="158" spans="28:28" ht="15" customHeight="1">
      <c r="AB158">
        <f>IF('Project Tracker'!D160="","",IF(COUNTIF('Project Tracker'!$D$2:D160,'Project Tracker'!D160)=1,MAX($AB$1:AB157)+1,""))</f>
        <v>39</v>
      </c>
    </row>
    <row r="159" spans="28:28" ht="15" customHeight="1">
      <c r="AB159" t="str">
        <f>IF('Project Tracker'!D161="","",IF(COUNTIF('Project Tracker'!$D$2:D161,'Project Tracker'!D161)=1,MAX($AB$1:AB158)+1,""))</f>
        <v/>
      </c>
    </row>
    <row r="160" spans="28:28" ht="15" customHeight="1">
      <c r="AB160" t="str">
        <f>IF('Project Tracker'!D162="","",IF(COUNTIF('Project Tracker'!$D$2:D162,'Project Tracker'!D162)=1,MAX($AB$1:AB159)+1,""))</f>
        <v/>
      </c>
    </row>
    <row r="161" spans="28:28" ht="15" customHeight="1">
      <c r="AB161" t="str">
        <f>IF('Project Tracker'!D163="","",IF(COUNTIF('Project Tracker'!$D$2:D163,'Project Tracker'!D163)=1,MAX($AB$1:AB160)+1,""))</f>
        <v/>
      </c>
    </row>
    <row r="162" spans="28:28" ht="15" customHeight="1">
      <c r="AB162" t="str">
        <f>IF('Project Tracker'!D164="","",IF(COUNTIF('Project Tracker'!$D$2:D164,'Project Tracker'!D164)=1,MAX($AB$1:AB161)+1,""))</f>
        <v/>
      </c>
    </row>
    <row r="163" spans="28:28" ht="15" customHeight="1">
      <c r="AB163" t="str">
        <f>IF('Project Tracker'!D165="","",IF(COUNTIF('Project Tracker'!$D$2:D165,'Project Tracker'!D165)=1,MAX($AB$1:AB162)+1,""))</f>
        <v/>
      </c>
    </row>
    <row r="164" spans="28:28" ht="15" customHeight="1">
      <c r="AB164" t="str">
        <f>IF('Project Tracker'!D166="","",IF(COUNTIF('Project Tracker'!$D$2:D166,'Project Tracker'!D166)=1,MAX($AB$1:AB163)+1,""))</f>
        <v/>
      </c>
    </row>
    <row r="165" spans="28:28" ht="15" customHeight="1">
      <c r="AB165" t="str">
        <f>IF('Project Tracker'!D167="","",IF(COUNTIF('Project Tracker'!$D$2:D167,'Project Tracker'!D167)=1,MAX($AB$1:AB164)+1,""))</f>
        <v/>
      </c>
    </row>
    <row r="166" spans="28:28" ht="15" customHeight="1">
      <c r="AB166" t="str">
        <f>IF('Project Tracker'!D168="","",IF(COUNTIF('Project Tracker'!$D$2:D168,'Project Tracker'!D168)=1,MAX($AB$1:AB165)+1,""))</f>
        <v/>
      </c>
    </row>
    <row r="167" spans="28:28" ht="15" customHeight="1">
      <c r="AB167" t="str">
        <f>IF('Project Tracker'!D169="","",IF(COUNTIF('Project Tracker'!$D$2:D169,'Project Tracker'!D169)=1,MAX($AB$1:AB166)+1,""))</f>
        <v/>
      </c>
    </row>
    <row r="168" spans="28:28" ht="15" customHeight="1">
      <c r="AB168">
        <f>IF('Project Tracker'!D170="","",IF(COUNTIF('Project Tracker'!$D$2:D170,'Project Tracker'!D170)=1,MAX($AB$1:AB167)+1,""))</f>
        <v>40</v>
      </c>
    </row>
    <row r="169" spans="28:28" ht="15" customHeight="1">
      <c r="AB169" t="str">
        <f>IF('Project Tracker'!D171="","",IF(COUNTIF('Project Tracker'!$D$2:D171,'Project Tracker'!D171)=1,MAX($AB$1:AB168)+1,""))</f>
        <v/>
      </c>
    </row>
    <row r="170" spans="28:28" ht="15" customHeight="1">
      <c r="AB170" t="str">
        <f>IF('Project Tracker'!D172="","",IF(COUNTIF('Project Tracker'!$D$2:D172,'Project Tracker'!D172)=1,MAX($AB$1:AB169)+1,""))</f>
        <v/>
      </c>
    </row>
    <row r="171" spans="28:28" ht="15" customHeight="1">
      <c r="AB171" t="str">
        <f>IF('Project Tracker'!D173="","",IF(COUNTIF('Project Tracker'!$D$2:D173,'Project Tracker'!D173)=1,MAX($AB$1:AB170)+1,""))</f>
        <v/>
      </c>
    </row>
    <row r="172" spans="28:28" ht="15" customHeight="1">
      <c r="AB172" t="str">
        <f>IF('Project Tracker'!D174="","",IF(COUNTIF('Project Tracker'!$D$2:D174,'Project Tracker'!D174)=1,MAX($AB$1:AB171)+1,""))</f>
        <v/>
      </c>
    </row>
    <row r="173" spans="28:28" ht="15" customHeight="1">
      <c r="AB173" t="str">
        <f>IF('Project Tracker'!D175="","",IF(COUNTIF('Project Tracker'!$D$2:D175,'Project Tracker'!D175)=1,MAX($AB$1:AB172)+1,""))</f>
        <v/>
      </c>
    </row>
    <row r="174" spans="28:28" ht="15" customHeight="1">
      <c r="AB174" t="str">
        <f>IF('Project Tracker'!D176="","",IF(COUNTIF('Project Tracker'!$D$2:D176,'Project Tracker'!D176)=1,MAX($AB$1:AB173)+1,""))</f>
        <v/>
      </c>
    </row>
    <row r="175" spans="28:28" ht="15" customHeight="1">
      <c r="AB175" t="str">
        <f>IF('Project Tracker'!D177="","",IF(COUNTIF('Project Tracker'!$D$2:D177,'Project Tracker'!D177)=1,MAX($AB$1:AB174)+1,""))</f>
        <v/>
      </c>
    </row>
    <row r="176" spans="28:28" ht="15" customHeight="1">
      <c r="AB176" t="str">
        <f>IF('Project Tracker'!D178="","",IF(COUNTIF('Project Tracker'!$D$2:D178,'Project Tracker'!D178)=1,MAX($AB$1:AB175)+1,""))</f>
        <v/>
      </c>
    </row>
    <row r="177" spans="28:28" ht="15" customHeight="1">
      <c r="AB177" t="str">
        <f>IF('Project Tracker'!D179="","",IF(COUNTIF('Project Tracker'!$D$2:D179,'Project Tracker'!D179)=1,MAX($AB$1:AB176)+1,""))</f>
        <v/>
      </c>
    </row>
    <row r="178" spans="28:28" ht="15" customHeight="1">
      <c r="AB178" t="str">
        <f>IF('Project Tracker'!D180="","",IF(COUNTIF('Project Tracker'!$D$2:D326,'Project Tracker'!D180)=1,MAX($AB$1:AB177)+1,""))</f>
        <v/>
      </c>
    </row>
    <row r="179" spans="28:28" ht="15" customHeight="1">
      <c r="AB179" t="str">
        <f>IF('Project Tracker'!D181="","",IF(COUNTIF('Project Tracker'!$D$2:D181,'Project Tracker'!D181)=1,MAX($AB$1:AB178)+1,""))</f>
        <v/>
      </c>
    </row>
    <row r="180" spans="28:28" ht="15" customHeight="1">
      <c r="AB180">
        <f>IF('Project Tracker'!D182="","",IF(COUNTIF('Project Tracker'!$D$2:D182,'Project Tracker'!D182)=1,MAX($AB$1:AB179)+1,""))</f>
        <v>41</v>
      </c>
    </row>
    <row r="181" spans="28:28" ht="15" customHeight="1">
      <c r="AB181" t="str">
        <f>IF('Project Tracker'!D183="","",IF(COUNTIF('Project Tracker'!$D$2:D183,'Project Tracker'!D183)=1,MAX($AB$1:AB180)+1,""))</f>
        <v/>
      </c>
    </row>
    <row r="182" spans="28:28" ht="15" customHeight="1">
      <c r="AB182" t="str">
        <f>IF('Project Tracker'!D184="","",IF(COUNTIF('Project Tracker'!$D$2:D184,'Project Tracker'!D184)=1,MAX($AB$1:AB181)+1,""))</f>
        <v/>
      </c>
    </row>
    <row r="183" spans="28:28" ht="15" customHeight="1">
      <c r="AB183" t="str">
        <f>IF('Project Tracker'!D185="","",IF(COUNTIF('Project Tracker'!$D$2:D185,'Project Tracker'!D185)=1,MAX($AB$1:AB182)+1,""))</f>
        <v/>
      </c>
    </row>
    <row r="184" spans="28:28" ht="15" customHeight="1">
      <c r="AB184" t="str">
        <f>IF('Project Tracker'!D186="","",IF(COUNTIF('Project Tracker'!$D$2:D186,'Project Tracker'!D186)=1,MAX($AB$1:AB183)+1,""))</f>
        <v/>
      </c>
    </row>
    <row r="185" spans="28:28" ht="15" customHeight="1">
      <c r="AB185" t="str">
        <f>IF('Project Tracker'!D187="","",IF(COUNTIF('Project Tracker'!$D$2:D187,'Project Tracker'!D187)=1,MAX($AB$1:AB184)+1,""))</f>
        <v/>
      </c>
    </row>
    <row r="186" spans="28:28" ht="15" customHeight="1">
      <c r="AB186">
        <f>IF('Project Tracker'!D188="","",IF(COUNTIF('Project Tracker'!$D$2:D188,'Project Tracker'!D188)=1,MAX($AB$1:AB185)+1,""))</f>
        <v>42</v>
      </c>
    </row>
    <row r="187" spans="28:28" ht="15" customHeight="1">
      <c r="AB187" t="str">
        <f>IF('Project Tracker'!D189="","",IF(COUNTIF('Project Tracker'!$D$2:D189,'Project Tracker'!D189)=1,MAX($AB$1:AB186)+1,""))</f>
        <v/>
      </c>
    </row>
    <row r="188" spans="28:28" ht="15" customHeight="1">
      <c r="AB188" t="str">
        <f>IF('Project Tracker'!D190="","",IF(COUNTIF('Project Tracker'!$D$2:D190,'Project Tracker'!D190)=1,MAX($AB$1:AB187)+1,""))</f>
        <v/>
      </c>
    </row>
    <row r="189" spans="28:28" ht="15" customHeight="1">
      <c r="AB189" t="str">
        <f>IF('Project Tracker'!D191="","",IF(COUNTIF('Project Tracker'!$D$2:D191,'Project Tracker'!D191)=1,MAX($AB$1:AB188)+1,""))</f>
        <v/>
      </c>
    </row>
    <row r="190" spans="28:28" ht="15" customHeight="1">
      <c r="AB190" t="str">
        <f>IF('Project Tracker'!D192="","",IF(COUNTIF('Project Tracker'!$D$2:D192,'Project Tracker'!D192)=1,MAX($AB$1:AB189)+1,""))</f>
        <v/>
      </c>
    </row>
    <row r="191" spans="28:28" ht="15" customHeight="1">
      <c r="AB191" t="str">
        <f>IF('Project Tracker'!D193="","",IF(COUNTIF('Project Tracker'!$D$2:D193,'Project Tracker'!D193)=1,MAX($AB$1:AB190)+1,""))</f>
        <v/>
      </c>
    </row>
    <row r="192" spans="28:28" ht="15" customHeight="1">
      <c r="AB192" t="str">
        <f>IF('Project Tracker'!D194="","",IF(COUNTIF('Project Tracker'!$D$2:D194,'Project Tracker'!D194)=1,MAX($AB$1:AB191)+1,""))</f>
        <v/>
      </c>
    </row>
    <row r="193" spans="28:28" ht="15" customHeight="1">
      <c r="AB193">
        <f>IF('Project Tracker'!D195="","",IF(COUNTIF('Project Tracker'!$D$2:D195,'Project Tracker'!D195)=1,MAX($AB$1:AB192)+1,""))</f>
        <v>43</v>
      </c>
    </row>
    <row r="194" spans="28:28" ht="15" customHeight="1">
      <c r="AB194" t="str">
        <f>IF('Project Tracker'!D196="","",IF(COUNTIF('Project Tracker'!$D$2:D196,'Project Tracker'!D196)=1,MAX($AB$1:AB193)+1,""))</f>
        <v/>
      </c>
    </row>
    <row r="195" spans="28:28" ht="15" customHeight="1">
      <c r="AB195" t="str">
        <f>IF('Project Tracker'!D197="","",IF(COUNTIF('Project Tracker'!$D$2:D197,'Project Tracker'!D197)=1,MAX($AB$1:AB194)+1,""))</f>
        <v/>
      </c>
    </row>
    <row r="196" spans="28:28" ht="15" customHeight="1">
      <c r="AB196" t="str">
        <f>IF('Project Tracker'!D198="","",IF(COUNTIF('Project Tracker'!$D$2:D198,'Project Tracker'!D198)=1,MAX($AB$1:AB195)+1,""))</f>
        <v/>
      </c>
    </row>
    <row r="197" spans="28:28" ht="15" customHeight="1">
      <c r="AB197" t="str">
        <f>IF('Project Tracker'!D199="","",IF(COUNTIF('Project Tracker'!$D$2:D199,'Project Tracker'!D199)=1,MAX($AB$1:AB196)+1,""))</f>
        <v/>
      </c>
    </row>
    <row r="198" spans="28:28" ht="15" customHeight="1">
      <c r="AB198" t="str">
        <f>IF('Project Tracker'!D200="","",IF(COUNTIF('Project Tracker'!$D$2:D200,'Project Tracker'!D200)=1,MAX($AB$1:AB197)+1,""))</f>
        <v/>
      </c>
    </row>
    <row r="199" spans="28:28" ht="15" customHeight="1">
      <c r="AB199" t="str">
        <f>IF('Project Tracker'!D201="","",IF(COUNTIF('Project Tracker'!$D$2:D201,'Project Tracker'!D201)=1,MAX($AB$1:AB198)+1,""))</f>
        <v/>
      </c>
    </row>
    <row r="200" spans="28:28" ht="15" customHeight="1">
      <c r="AB200" t="str">
        <f>IF('Project Tracker'!D202="","",IF(COUNTIF('Project Tracker'!$D$2:D202,'Project Tracker'!D202)=1,MAX($AB$1:AB199)+1,""))</f>
        <v/>
      </c>
    </row>
    <row r="201" spans="28:28" ht="15" customHeight="1">
      <c r="AB201" t="str">
        <f>IF('Project Tracker'!D203="","",IF(COUNTIF('Project Tracker'!$D$2:D203,'Project Tracker'!D203)=1,MAX($AB$1:AB200)+1,""))</f>
        <v/>
      </c>
    </row>
    <row r="202" spans="28:28" ht="15" customHeight="1">
      <c r="AB202" t="str">
        <f>IF('Project Tracker'!D204="","",IF(COUNTIF('Project Tracker'!$D$2:D204,'Project Tracker'!D204)=1,MAX($AB$1:AB201)+1,""))</f>
        <v/>
      </c>
    </row>
    <row r="203" spans="28:28" ht="15" customHeight="1">
      <c r="AB203" t="str">
        <f>IF('Project Tracker'!D205="","",IF(COUNTIF('Project Tracker'!$D$2:D205,'Project Tracker'!D205)=1,MAX($AB$1:AB202)+1,""))</f>
        <v/>
      </c>
    </row>
    <row r="204" spans="28:28" ht="15" customHeight="1">
      <c r="AB204" t="str">
        <f>IF('Project Tracker'!D206="","",IF(COUNTIF('Project Tracker'!$D$2:D206,'Project Tracker'!D206)=1,MAX($AB$1:AB203)+1,""))</f>
        <v/>
      </c>
    </row>
    <row r="205" spans="28:28" ht="15" customHeight="1">
      <c r="AB205" t="str">
        <f>IF('Project Tracker'!D207="","",IF(COUNTIF('Project Tracker'!$D$2:D207,'Project Tracker'!D207)=1,MAX($AB$1:AB204)+1,""))</f>
        <v/>
      </c>
    </row>
    <row r="206" spans="28:28" ht="15" customHeight="1">
      <c r="AB206" t="str">
        <f>IF('Project Tracker'!D208="","",IF(COUNTIF('Project Tracker'!$D$2:D208,'Project Tracker'!D208)=1,MAX($AB$1:AB205)+1,""))</f>
        <v/>
      </c>
    </row>
    <row r="207" spans="28:28" ht="15" customHeight="1">
      <c r="AB207" t="str">
        <f>IF('Project Tracker'!D209="","",IF(COUNTIF('Project Tracker'!$D$2:D209,'Project Tracker'!D209)=1,MAX($AB$1:AB206)+1,""))</f>
        <v/>
      </c>
    </row>
    <row r="208" spans="28:28" ht="15" customHeight="1">
      <c r="AB208" t="str">
        <f>IF('Project Tracker'!D210="","",IF(COUNTIF('Project Tracker'!$D$2:D210,'Project Tracker'!D210)=1,MAX($AB$1:AB207)+1,""))</f>
        <v/>
      </c>
    </row>
    <row r="209" spans="28:28" ht="15" customHeight="1">
      <c r="AB209" t="str">
        <f>IF('Project Tracker'!D211="","",IF(COUNTIF('Project Tracker'!$D$2:D211,'Project Tracker'!D211)=1,MAX($AB$1:AB208)+1,""))</f>
        <v/>
      </c>
    </row>
    <row r="210" spans="28:28" ht="15" customHeight="1">
      <c r="AB210" t="str">
        <f>IF('Project Tracker'!D212="","",IF(COUNTIF('Project Tracker'!$D$2:D212,'Project Tracker'!D212)=1,MAX($AB$1:AB209)+1,""))</f>
        <v/>
      </c>
    </row>
    <row r="211" spans="28:28" ht="15" customHeight="1">
      <c r="AB211" t="str">
        <f>IF('Project Tracker'!D213="","",IF(COUNTIF('Project Tracker'!$D$2:D213,'Project Tracker'!D213)=1,MAX($AB$1:AB210)+1,""))</f>
        <v/>
      </c>
    </row>
    <row r="212" spans="28:28" ht="15" customHeight="1">
      <c r="AB212" t="str">
        <f>IF('Project Tracker'!D214="","",IF(COUNTIF('Project Tracker'!$D$2:D214,'Project Tracker'!D214)=1,MAX($AB$1:AB211)+1,""))</f>
        <v/>
      </c>
    </row>
    <row r="213" spans="28:28" ht="15" customHeight="1">
      <c r="AB213" t="str">
        <f>IF('Project Tracker'!D215="","",IF(COUNTIF('Project Tracker'!$D$2:D215,'Project Tracker'!D215)=1,MAX($AB$1:AB212)+1,""))</f>
        <v/>
      </c>
    </row>
    <row r="214" spans="28:28" ht="15" customHeight="1">
      <c r="AB214" t="str">
        <f>IF('Project Tracker'!D216="","",IF(COUNTIF('Project Tracker'!$D$2:D216,'Project Tracker'!D216)=1,MAX($AB$1:AB213)+1,""))</f>
        <v/>
      </c>
    </row>
    <row r="215" spans="28:28" ht="15" customHeight="1">
      <c r="AB215" t="str">
        <f>IF('Project Tracker'!D217="","",IF(COUNTIF('Project Tracker'!$D$2:D217,'Project Tracker'!D217)=1,MAX($AB$1:AB214)+1,""))</f>
        <v/>
      </c>
    </row>
    <row r="216" spans="28:28" ht="15" customHeight="1">
      <c r="AB216" t="str">
        <f>IF('Project Tracker'!D218="","",IF(COUNTIF('Project Tracker'!$D$2:D218,'Project Tracker'!D218)=1,MAX($AB$1:AB215)+1,""))</f>
        <v/>
      </c>
    </row>
    <row r="217" spans="28:28" ht="15" customHeight="1">
      <c r="AB217" t="str">
        <f>IF('Project Tracker'!D219="","",IF(COUNTIF('Project Tracker'!$D$2:D219,'Project Tracker'!D219)=1,MAX($AB$1:AB216)+1,""))</f>
        <v/>
      </c>
    </row>
    <row r="218" spans="28:28" ht="15" customHeight="1">
      <c r="AB218" t="str">
        <f>IF('Project Tracker'!D220="","",IF(COUNTIF('Project Tracker'!$D$2:D220,'Project Tracker'!D220)=1,MAX($AB$1:AB217)+1,""))</f>
        <v/>
      </c>
    </row>
    <row r="219" spans="28:28" ht="15" customHeight="1">
      <c r="AB219" t="str">
        <f>IF('Project Tracker'!D221="","",IF(COUNTIF('Project Tracker'!$D$2:D221,'Project Tracker'!D221)=1,MAX($AB$1:AB218)+1,""))</f>
        <v/>
      </c>
    </row>
    <row r="220" spans="28:28" ht="15" customHeight="1">
      <c r="AB220" t="str">
        <f>IF('Project Tracker'!D222="","",IF(COUNTIF('Project Tracker'!$D$2:D222,'Project Tracker'!D222)=1,MAX($AB$1:AB219)+1,""))</f>
        <v/>
      </c>
    </row>
    <row r="221" spans="28:28" ht="15" customHeight="1">
      <c r="AB221" t="str">
        <f>IF('Project Tracker'!D223="","",IF(COUNTIF('Project Tracker'!$D$2:D223,'Project Tracker'!D223)=1,MAX($AB$1:AB220)+1,""))</f>
        <v/>
      </c>
    </row>
    <row r="222" spans="28:28" ht="15" customHeight="1">
      <c r="AB222" t="str">
        <f>IF('Project Tracker'!D224="","",IF(COUNTIF('Project Tracker'!$D$2:D224,'Project Tracker'!D224)=1,MAX($AB$1:AB221)+1,""))</f>
        <v/>
      </c>
    </row>
    <row r="223" spans="28:28" ht="15" customHeight="1">
      <c r="AB223" t="str">
        <f>IF('Project Tracker'!D225="","",IF(COUNTIF('Project Tracker'!$D$2:D225,'Project Tracker'!D225)=1,MAX($AB$1:AB222)+1,""))</f>
        <v/>
      </c>
    </row>
    <row r="224" spans="28:28" ht="15" customHeight="1">
      <c r="AB224" t="str">
        <f>IF('Project Tracker'!D226="","",IF(COUNTIF('Project Tracker'!$D$2:D226,'Project Tracker'!D226)=1,MAX($AB$1:AB223)+1,""))</f>
        <v/>
      </c>
    </row>
    <row r="225" spans="28:28" ht="15" customHeight="1">
      <c r="AB225" t="str">
        <f>IF('Project Tracker'!D227="","",IF(COUNTIF('Project Tracker'!$D$2:D227,'Project Tracker'!D227)=1,MAX($AB$1:AB224)+1,""))</f>
        <v/>
      </c>
    </row>
    <row r="226" spans="28:28" ht="15" customHeight="1">
      <c r="AB226" t="str">
        <f>IF('Project Tracker'!D228="","",IF(COUNTIF('Project Tracker'!$D$2:D228,'Project Tracker'!D228)=1,MAX($AB$1:AB225)+1,""))</f>
        <v/>
      </c>
    </row>
    <row r="227" spans="28:28" ht="15" customHeight="1">
      <c r="AB227" t="str">
        <f>IF('Project Tracker'!D229="","",IF(COUNTIF('Project Tracker'!$D$2:D229,'Project Tracker'!D229)=1,MAX($AB$1:AB226)+1,""))</f>
        <v/>
      </c>
    </row>
    <row r="228" spans="28:28" ht="15" customHeight="1">
      <c r="AB228" t="str">
        <f>IF('Project Tracker'!D230="","",IF(COUNTIF('Project Tracker'!$D$2:D230,'Project Tracker'!D230)=1,MAX($AB$1:AB227)+1,""))</f>
        <v/>
      </c>
    </row>
    <row r="229" spans="28:28" ht="15" customHeight="1">
      <c r="AB229" t="str">
        <f>IF('Project Tracker'!D231="","",IF(COUNTIF('Project Tracker'!$D$2:D231,'Project Tracker'!D231)=1,MAX($AB$1:AB228)+1,""))</f>
        <v/>
      </c>
    </row>
    <row r="230" spans="28:28" ht="15" customHeight="1">
      <c r="AB230" t="str">
        <f>IF('Project Tracker'!D232="","",IF(COUNTIF('Project Tracker'!$D$2:D232,'Project Tracker'!D232)=1,MAX($AB$1:AB229)+1,""))</f>
        <v/>
      </c>
    </row>
    <row r="231" spans="28:28" ht="15" customHeight="1">
      <c r="AB231" t="str">
        <f>IF('Project Tracker'!D233="","",IF(COUNTIF('Project Tracker'!$D$2:D233,'Project Tracker'!D233)=1,MAX($AB$1:AB230)+1,""))</f>
        <v/>
      </c>
    </row>
    <row r="232" spans="28:28" ht="15" customHeight="1">
      <c r="AB232" t="str">
        <f>IF('Project Tracker'!D234="","",IF(COUNTIF('Project Tracker'!$D$2:D234,'Project Tracker'!D234)=1,MAX($AB$1:AB231)+1,""))</f>
        <v/>
      </c>
    </row>
    <row r="233" spans="28:28" ht="15" customHeight="1">
      <c r="AB233" t="str">
        <f>IF('Project Tracker'!D235="","",IF(COUNTIF('Project Tracker'!$D$2:D235,'Project Tracker'!D235)=1,MAX($AB$1:AB232)+1,""))</f>
        <v/>
      </c>
    </row>
    <row r="234" spans="28:28" ht="15" customHeight="1">
      <c r="AB234" t="str">
        <f>IF('Project Tracker'!D236="","",IF(COUNTIF('Project Tracker'!$D$2:D236,'Project Tracker'!D236)=1,MAX($AB$1:AB233)+1,""))</f>
        <v/>
      </c>
    </row>
    <row r="235" spans="28:28" ht="15" customHeight="1">
      <c r="AB235" t="str">
        <f>IF('Project Tracker'!D237="","",IF(COUNTIF('Project Tracker'!$D$2:D237,'Project Tracker'!D237)=1,MAX($AB$1:AB234)+1,""))</f>
        <v/>
      </c>
    </row>
    <row r="236" spans="28:28" ht="15" customHeight="1">
      <c r="AB236" t="str">
        <f>IF('Project Tracker'!D238="","",IF(COUNTIF('Project Tracker'!$D$2:D238,'Project Tracker'!D238)=1,MAX($AB$1:AB235)+1,""))</f>
        <v/>
      </c>
    </row>
    <row r="237" spans="28:28" ht="15" customHeight="1">
      <c r="AB237" t="str">
        <f>IF('Project Tracker'!D239="","",IF(COUNTIF('Project Tracker'!$D$2:D239,'Project Tracker'!D239)=1,MAX($AB$1:AB236)+1,""))</f>
        <v/>
      </c>
    </row>
    <row r="238" spans="28:28" ht="15" customHeight="1">
      <c r="AB238" t="str">
        <f>IF('Project Tracker'!D240="","",IF(COUNTIF('Project Tracker'!$D$2:D240,'Project Tracker'!D240)=1,MAX($AB$1:AB237)+1,""))</f>
        <v/>
      </c>
    </row>
    <row r="239" spans="28:28" ht="15" customHeight="1">
      <c r="AB239" t="str">
        <f>IF('Project Tracker'!D241="","",IF(COUNTIF('Project Tracker'!$D$2:D241,'Project Tracker'!D241)=1,MAX($AB$1:AB238)+1,""))</f>
        <v/>
      </c>
    </row>
    <row r="240" spans="28:28" ht="15" customHeight="1">
      <c r="AB240" t="str">
        <f>IF('Project Tracker'!D242="","",IF(COUNTIF('Project Tracker'!$D$2:D242,'Project Tracker'!D242)=1,MAX($AB$1:AB239)+1,""))</f>
        <v/>
      </c>
    </row>
    <row r="241" spans="28:28" ht="15" customHeight="1">
      <c r="AB241" t="str">
        <f>IF('Project Tracker'!D243="","",IF(COUNTIF('Project Tracker'!$D$2:D243,'Project Tracker'!D243)=1,MAX($AB$1:AB240)+1,""))</f>
        <v/>
      </c>
    </row>
    <row r="242" spans="28:28" ht="15" customHeight="1">
      <c r="AB242" t="str">
        <f>IF('Project Tracker'!D244="","",IF(COUNTIF('Project Tracker'!$D$2:D244,'Project Tracker'!D244)=1,MAX($AB$1:AB241)+1,""))</f>
        <v/>
      </c>
    </row>
    <row r="243" spans="28:28" ht="15" customHeight="1">
      <c r="AB243" t="str">
        <f>IF('Project Tracker'!D245="","",IF(COUNTIF('Project Tracker'!$D$2:D245,'Project Tracker'!D245)=1,MAX($AB$1:AB242)+1,""))</f>
        <v/>
      </c>
    </row>
    <row r="244" spans="28:28" ht="15" customHeight="1">
      <c r="AB244" t="str">
        <f>IF('Project Tracker'!D246="","",IF(COUNTIF('Project Tracker'!$D$2:D246,'Project Tracker'!D246)=1,MAX($AB$1:AB243)+1,""))</f>
        <v/>
      </c>
    </row>
    <row r="245" spans="28:28" ht="15" customHeight="1">
      <c r="AB245" t="str">
        <f>IF('Project Tracker'!D247="","",IF(COUNTIF('Project Tracker'!$D$2:D247,'Project Tracker'!D247)=1,MAX($AB$1:AB244)+1,""))</f>
        <v/>
      </c>
    </row>
    <row r="246" spans="28:28" ht="15" customHeight="1">
      <c r="AB246" t="str">
        <f>IF('Project Tracker'!D248="","",IF(COUNTIF('Project Tracker'!$D$2:D248,'Project Tracker'!D248)=1,MAX($AB$1:AB245)+1,""))</f>
        <v/>
      </c>
    </row>
    <row r="247" spans="28:28" ht="15" customHeight="1">
      <c r="AB247" t="str">
        <f>IF('Project Tracker'!D249="","",IF(COUNTIF('Project Tracker'!$D$2:D249,'Project Tracker'!D249)=1,MAX($AB$1:AB246)+1,""))</f>
        <v/>
      </c>
    </row>
    <row r="248" spans="28:28" ht="15" customHeight="1">
      <c r="AB248" t="str">
        <f>IF('Project Tracker'!D250="","",IF(COUNTIF('Project Tracker'!$D$2:D250,'Project Tracker'!D250)=1,MAX($AB$1:AB247)+1,""))</f>
        <v/>
      </c>
    </row>
    <row r="249" spans="28:28" ht="15" customHeight="1">
      <c r="AB249" t="str">
        <f>IF('Project Tracker'!D251="","",IF(COUNTIF('Project Tracker'!$D$2:D251,'Project Tracker'!D251)=1,MAX($AB$1:AB248)+1,""))</f>
        <v/>
      </c>
    </row>
    <row r="250" spans="28:28" ht="15" customHeight="1">
      <c r="AB250" t="str">
        <f>IF('Project Tracker'!D252="","",IF(COUNTIF('Project Tracker'!$D$2:D252,'Project Tracker'!D252)=1,MAX($AB$1:AB249)+1,""))</f>
        <v/>
      </c>
    </row>
    <row r="251" spans="28:28" ht="15" customHeight="1">
      <c r="AB251" t="str">
        <f>IF('Project Tracker'!D253="","",IF(COUNTIF('Project Tracker'!$D$2:D253,'Project Tracker'!D253)=1,MAX($AB$1:AB250)+1,""))</f>
        <v/>
      </c>
    </row>
    <row r="252" spans="28:28" ht="15" customHeight="1">
      <c r="AB252" t="str">
        <f>IF('Project Tracker'!D254="","",IF(COUNTIF('Project Tracker'!$D$2:D254,'Project Tracker'!D254)=1,MAX($AB$1:AB251)+1,""))</f>
        <v/>
      </c>
    </row>
    <row r="253" spans="28:28" ht="15" customHeight="1">
      <c r="AB253" t="str">
        <f>IF('Project Tracker'!D255="","",IF(COUNTIF('Project Tracker'!$D$2:D255,'Project Tracker'!D255)=1,MAX($AB$1:AB252)+1,""))</f>
        <v/>
      </c>
    </row>
    <row r="254" spans="28:28" ht="15" customHeight="1">
      <c r="AB254" t="str">
        <f>IF('Project Tracker'!D256="","",IF(COUNTIF('Project Tracker'!$D$2:D256,'Project Tracker'!D256)=1,MAX($AB$1:AB253)+1,""))</f>
        <v/>
      </c>
    </row>
    <row r="255" spans="28:28" ht="15" customHeight="1">
      <c r="AB255" t="str">
        <f>IF('Project Tracker'!D257="","",IF(COUNTIF('Project Tracker'!$D$2:D257,'Project Tracker'!D257)=1,MAX($AB$1:AB254)+1,""))</f>
        <v/>
      </c>
    </row>
    <row r="256" spans="28:28" ht="15" customHeight="1">
      <c r="AB256" t="str">
        <f>IF('Project Tracker'!D258="","",IF(COUNTIF('Project Tracker'!$D$2:D258,'Project Tracker'!D258)=1,MAX($AB$1:AB255)+1,""))</f>
        <v/>
      </c>
    </row>
    <row r="257" spans="28:28" ht="15" customHeight="1">
      <c r="AB257" t="str">
        <f>IF('Project Tracker'!D259="","",IF(COUNTIF('Project Tracker'!$D$2:D259,'Project Tracker'!D259)=1,MAX($AB$1:AB256)+1,""))</f>
        <v/>
      </c>
    </row>
    <row r="258" spans="28:28" ht="15" customHeight="1">
      <c r="AB258" t="str">
        <f>IF('Project Tracker'!D260="","",IF(COUNTIF('Project Tracker'!$D$2:D260,'Project Tracker'!D260)=1,MAX($AB$1:AB257)+1,""))</f>
        <v/>
      </c>
    </row>
    <row r="259" spans="28:28" ht="15" customHeight="1">
      <c r="AB259" t="str">
        <f>IF('Project Tracker'!D261="","",IF(COUNTIF('Project Tracker'!$D$2:D261,'Project Tracker'!D261)=1,MAX($AB$1:AB258)+1,""))</f>
        <v/>
      </c>
    </row>
    <row r="260" spans="28:28" ht="15" customHeight="1">
      <c r="AB260" t="str">
        <f>IF('Project Tracker'!D262="","",IF(COUNTIF('Project Tracker'!$D$2:D262,'Project Tracker'!D262)=1,MAX($AB$1:AB259)+1,""))</f>
        <v/>
      </c>
    </row>
    <row r="261" spans="28:28" ht="15" customHeight="1">
      <c r="AB261" t="str">
        <f>IF('Project Tracker'!D263="","",IF(COUNTIF('Project Tracker'!$D$2:D263,'Project Tracker'!D263)=1,MAX($AB$1:AB260)+1,""))</f>
        <v/>
      </c>
    </row>
    <row r="262" spans="28:28" ht="15" customHeight="1">
      <c r="AB262" t="str">
        <f>IF('Project Tracker'!D264="","",IF(COUNTIF('Project Tracker'!$D$2:D264,'Project Tracker'!D264)=1,MAX($AB$1:AB261)+1,""))</f>
        <v/>
      </c>
    </row>
    <row r="263" spans="28:28" ht="15" customHeight="1">
      <c r="AB263" t="str">
        <f>IF('Project Tracker'!D265="","",IF(COUNTIF('Project Tracker'!$D$2:D265,'Project Tracker'!D265)=1,MAX($AB$1:AB262)+1,""))</f>
        <v/>
      </c>
    </row>
    <row r="264" spans="28:28" ht="15" customHeight="1">
      <c r="AB264" t="str">
        <f>IF('Project Tracker'!D266="","",IF(COUNTIF('Project Tracker'!$D$2:D266,'Project Tracker'!D266)=1,MAX($AB$1:AB263)+1,""))</f>
        <v/>
      </c>
    </row>
    <row r="265" spans="28:28" ht="15" customHeight="1">
      <c r="AB265" t="str">
        <f>IF('Project Tracker'!D267="","",IF(COUNTIF('Project Tracker'!$D$2:D267,'Project Tracker'!D267)=1,MAX($AB$1:AB264)+1,""))</f>
        <v/>
      </c>
    </row>
    <row r="266" spans="28:28" ht="15" customHeight="1">
      <c r="AB266" t="str">
        <f>IF('Project Tracker'!D268="","",IF(COUNTIF('Project Tracker'!$D$2:D268,'Project Tracker'!D268)=1,MAX($AB$1:AB265)+1,""))</f>
        <v/>
      </c>
    </row>
    <row r="267" spans="28:28" ht="15" customHeight="1">
      <c r="AB267" t="str">
        <f>IF('Project Tracker'!D269="","",IF(COUNTIF('Project Tracker'!$D$2:D269,'Project Tracker'!D269)=1,MAX($AB$1:AB266)+1,""))</f>
        <v/>
      </c>
    </row>
    <row r="268" spans="28:28" ht="15" customHeight="1">
      <c r="AB268" t="str">
        <f>IF('Project Tracker'!D270="","",IF(COUNTIF('Project Tracker'!$D$2:D270,'Project Tracker'!D270)=1,MAX($AB$1:AB267)+1,""))</f>
        <v/>
      </c>
    </row>
    <row r="269" spans="28:28" ht="15" customHeight="1">
      <c r="AB269" t="str">
        <f>IF('Project Tracker'!D271="","",IF(COUNTIF('Project Tracker'!$D$2:D271,'Project Tracker'!D271)=1,MAX($AB$1:AB268)+1,""))</f>
        <v/>
      </c>
    </row>
    <row r="270" spans="28:28" ht="15" customHeight="1">
      <c r="AB270" t="str">
        <f>IF('Project Tracker'!D272="","",IF(COUNTIF('Project Tracker'!$D$2:D272,'Project Tracker'!D272)=1,MAX($AB$1:AB269)+1,""))</f>
        <v/>
      </c>
    </row>
    <row r="271" spans="28:28" ht="15" customHeight="1">
      <c r="AB271" t="str">
        <f>IF('Project Tracker'!D273="","",IF(COUNTIF('Project Tracker'!$D$2:D273,'Project Tracker'!D273)=1,MAX($AB$1:AB270)+1,""))</f>
        <v/>
      </c>
    </row>
    <row r="272" spans="28:28" ht="15" customHeight="1">
      <c r="AB272" t="str">
        <f>IF('Project Tracker'!D274="","",IF(COUNTIF('Project Tracker'!$D$2:D274,'Project Tracker'!D274)=1,MAX($AB$1:AB271)+1,""))</f>
        <v/>
      </c>
    </row>
    <row r="273" spans="28:28" ht="15" customHeight="1">
      <c r="AB273" t="str">
        <f>IF('Project Tracker'!D275="","",IF(COUNTIF('Project Tracker'!$D$2:D275,'Project Tracker'!D275)=1,MAX($AB$1:AB272)+1,""))</f>
        <v/>
      </c>
    </row>
    <row r="274" spans="28:28" ht="15" customHeight="1">
      <c r="AB274" t="str">
        <f>IF('Project Tracker'!D276="","",IF(COUNTIF('Project Tracker'!$D$2:D276,'Project Tracker'!D276)=1,MAX($AB$1:AB273)+1,""))</f>
        <v/>
      </c>
    </row>
    <row r="275" spans="28:28" ht="15" customHeight="1">
      <c r="AB275" t="str">
        <f>IF('Project Tracker'!D277="","",IF(COUNTIF('Project Tracker'!$D$2:D277,'Project Tracker'!D277)=1,MAX($AB$1:AB274)+1,""))</f>
        <v/>
      </c>
    </row>
    <row r="276" spans="28:28" ht="15" customHeight="1">
      <c r="AB276" t="str">
        <f>IF('Project Tracker'!D278="","",IF(COUNTIF('Project Tracker'!$D$2:D278,'Project Tracker'!D278)=1,MAX($AB$1:AB275)+1,""))</f>
        <v/>
      </c>
    </row>
    <row r="277" spans="28:28" ht="15" customHeight="1">
      <c r="AB277" t="str">
        <f>IF('Project Tracker'!D279="","",IF(COUNTIF('Project Tracker'!$D$2:D279,'Project Tracker'!D279)=1,MAX($AB$1:AB276)+1,""))</f>
        <v/>
      </c>
    </row>
    <row r="278" spans="28:28" ht="15" customHeight="1">
      <c r="AB278" t="str">
        <f>IF('Project Tracker'!D280="","",IF(COUNTIF('Project Tracker'!$D$2:D280,'Project Tracker'!D280)=1,MAX($AB$1:AB277)+1,""))</f>
        <v/>
      </c>
    </row>
    <row r="279" spans="28:28" ht="15" customHeight="1">
      <c r="AB279" t="str">
        <f>IF('Project Tracker'!D281="","",IF(COUNTIF('Project Tracker'!$D$2:D281,'Project Tracker'!D281)=1,MAX($AB$1:AB278)+1,""))</f>
        <v/>
      </c>
    </row>
    <row r="280" spans="28:28" ht="15" customHeight="1">
      <c r="AB280" t="str">
        <f>IF('Project Tracker'!D282="","",IF(COUNTIF('Project Tracker'!$D$2:D282,'Project Tracker'!D282)=1,MAX($AB$1:AB279)+1,""))</f>
        <v/>
      </c>
    </row>
    <row r="281" spans="28:28" ht="15" customHeight="1">
      <c r="AB281" t="str">
        <f>IF('Project Tracker'!D283="","",IF(COUNTIF('Project Tracker'!$D$2:D283,'Project Tracker'!D283)=1,MAX($AB$1:AB280)+1,""))</f>
        <v/>
      </c>
    </row>
    <row r="282" spans="28:28" ht="15" customHeight="1">
      <c r="AB282" t="str">
        <f>IF('Project Tracker'!D284="","",IF(COUNTIF('Project Tracker'!$D$2:D284,'Project Tracker'!D284)=1,MAX($AB$1:AB281)+1,""))</f>
        <v/>
      </c>
    </row>
    <row r="283" spans="28:28" ht="15" customHeight="1">
      <c r="AB283" t="str">
        <f>IF('Project Tracker'!D285="","",IF(COUNTIF('Project Tracker'!$D$2:D285,'Project Tracker'!D285)=1,MAX($AB$1:AB282)+1,""))</f>
        <v/>
      </c>
    </row>
    <row r="284" spans="28:28" ht="15" customHeight="1">
      <c r="AB284" t="str">
        <f>IF('Project Tracker'!D286="","",IF(COUNTIF('Project Tracker'!$D$2:D286,'Project Tracker'!D286)=1,MAX($AB$1:AB283)+1,""))</f>
        <v/>
      </c>
    </row>
    <row r="285" spans="28:28" ht="15" customHeight="1">
      <c r="AB285" t="str">
        <f>IF('Project Tracker'!D287="","",IF(COUNTIF('Project Tracker'!$D$2:D287,'Project Tracker'!D287)=1,MAX($AB$1:AB284)+1,""))</f>
        <v/>
      </c>
    </row>
    <row r="286" spans="28:28" ht="15" customHeight="1">
      <c r="AB286" t="str">
        <f>IF('Project Tracker'!D288="","",IF(COUNTIF('Project Tracker'!$D$2:D288,'Project Tracker'!D288)=1,MAX($AB$1:AB285)+1,""))</f>
        <v/>
      </c>
    </row>
    <row r="287" spans="28:28" ht="15" customHeight="1">
      <c r="AB287" t="str">
        <f>IF('Project Tracker'!D289="","",IF(COUNTIF('Project Tracker'!$D$2:D289,'Project Tracker'!D289)=1,MAX($AB$1:AB286)+1,""))</f>
        <v/>
      </c>
    </row>
    <row r="288" spans="28:28" ht="15" customHeight="1">
      <c r="AB288">
        <f>IF('Project Tracker'!D290="","",IF(COUNTIF('Project Tracker'!$D$2:D290,'Project Tracker'!D290)=1,MAX($AB$1:AB287)+1,""))</f>
        <v>44</v>
      </c>
    </row>
    <row r="289" spans="28:28" ht="15" customHeight="1">
      <c r="AB289" t="e">
        <f>IF('Project Tracker'!#REF!="","",IF(COUNTIF('Project Tracker'!$D$2:D290,'Project Tracker'!#REF!)=1,MAX($AB$1:AB288)+1,""))</f>
        <v>#REF!</v>
      </c>
    </row>
    <row r="290" spans="28:28" ht="15" customHeight="1">
      <c r="AB290" t="e">
        <f>IF('Project Tracker'!#REF!="","",IF(COUNTIF('Project Tracker'!$D$2:D290,'Project Tracker'!#REF!)=1,MAX($AB$1:AB289)+1,""))</f>
        <v>#REF!</v>
      </c>
    </row>
    <row r="291" spans="28:28" ht="15" customHeight="1">
      <c r="AB291" t="e">
        <f>IF('Project Tracker'!#REF!="","",IF(COUNTIF('Project Tracker'!$D$2:D326,'Project Tracker'!#REF!)=1,MAX($AB$1:AB290)+1,""))</f>
        <v>#REF!</v>
      </c>
    </row>
    <row r="292" spans="28:28" ht="15" customHeight="1">
      <c r="AB292" t="e">
        <f>IF('Project Tracker'!#REF!="","",IF(COUNTIF('Project Tracker'!$D$2:D326,'Project Tracker'!#REF!)=1,MAX($AB$1:AB291)+1,""))</f>
        <v>#REF!</v>
      </c>
    </row>
    <row r="293" spans="28:28" ht="15" customHeight="1">
      <c r="AB293" t="str">
        <f>IF('Project Tracker'!D316="","",IF(COUNTIF('Project Tracker'!$D$2:D327,'Project Tracker'!D316)=1,MAX($AB$1:AB292)+1,""))</f>
        <v/>
      </c>
    </row>
    <row r="294" spans="28:28" ht="15" customHeight="1">
      <c r="AB294" t="str">
        <f>IF('Project Tracker'!D329="","",IF(COUNTIF('Project Tracker'!$D$2:D329,'Project Tracker'!D329)=1,MAX($AB$1:AB293)+1,""))</f>
        <v/>
      </c>
    </row>
    <row r="295" spans="28:28" ht="15" customHeight="1">
      <c r="AB295" t="str">
        <f>IF('Project Tracker'!D332="","",IF(COUNTIF('Project Tracker'!$D$2:D332,'Project Tracker'!D332)=1,MAX($AB$1:AB294)+1,""))</f>
        <v/>
      </c>
    </row>
    <row r="296" spans="28:28" ht="15" customHeight="1">
      <c r="AB296" t="str">
        <f>IF('Project Tracker'!D334="","",IF(COUNTIF('Project Tracker'!$D$2:D334,'Project Tracker'!D334)=1,MAX($AB$1:AB295)+1,""))</f>
        <v/>
      </c>
    </row>
    <row r="297" spans="28:28" ht="15" customHeight="1">
      <c r="AB297" t="e">
        <f>IF('Project Tracker'!#REF!="","",IF(COUNTIF('Project Tracker'!$D$2:D335,'Project Tracker'!#REF!)=1,MAX($AB$1:AB296)+1,""))</f>
        <v>#REF!</v>
      </c>
    </row>
    <row r="298" spans="28:28" ht="15" customHeight="1">
      <c r="AB298" t="e">
        <f>IF('Project Tracker'!#REF!="","",IF(COUNTIF('Project Tracker'!$D$2:D335,'Project Tracker'!#REF!)=1,MAX($AB$1:AB297)+1,""))</f>
        <v>#REF!</v>
      </c>
    </row>
    <row r="299" spans="28:28" ht="15" customHeight="1">
      <c r="AB299" t="str">
        <f>IF('Project Tracker'!D335="","",IF(COUNTIF('Project Tracker'!$D$2:D337,'Project Tracker'!D335)=1,MAX($AB$1:AB298)+1,""))</f>
        <v/>
      </c>
    </row>
    <row r="300" spans="28:28" ht="15" customHeight="1">
      <c r="AB300" t="str">
        <f>IF('Project Tracker'!D339="","",IF(COUNTIF('Project Tracker'!$D$2:D339,'Project Tracker'!D339)=1,MAX($AB$1:AB299)+1,""))</f>
        <v/>
      </c>
    </row>
    <row r="301" spans="28:28" ht="15" customHeight="1">
      <c r="AB301" t="str">
        <f>IF('Project Tracker'!D341="","",IF(COUNTIF('Project Tracker'!$D$2:D341,'Project Tracker'!D341)=1,MAX($AB$1:AB300)+1,""))</f>
        <v/>
      </c>
    </row>
    <row r="302" spans="28:28" ht="15" customHeight="1">
      <c r="AB302" t="str">
        <f>IF('Project Tracker'!D342="","",IF(COUNTIF('Project Tracker'!$D$2:D342,'Project Tracker'!D342)=1,MAX($AB$1:AB301)+1,""))</f>
        <v/>
      </c>
    </row>
    <row r="303" spans="28:28" ht="15" customHeight="1">
      <c r="AB303" t="str">
        <f>IF('Project Tracker'!D343="","",IF(COUNTIF('Project Tracker'!$D$2:D343,'Project Tracker'!D343)=1,MAX($AB$1:AB302)+1,""))</f>
        <v/>
      </c>
    </row>
    <row r="304" spans="28:28" ht="15" customHeight="1">
      <c r="AB304" t="str">
        <f>IF('Project Tracker'!D344="","",IF(COUNTIF('Project Tracker'!$D$2:D344,'Project Tracker'!D344)=1,MAX($AB$1:AB303)+1,""))</f>
        <v/>
      </c>
    </row>
    <row r="305" spans="28:28" ht="15" customHeight="1">
      <c r="AB305" t="str">
        <f>IF('Project Tracker'!D345="","",IF(COUNTIF('Project Tracker'!$D$2:D345,'Project Tracker'!D345)=1,MAX($AB$1:AB304)+1,""))</f>
        <v/>
      </c>
    </row>
    <row r="306" spans="28:28" ht="15" customHeight="1">
      <c r="AB306" t="str">
        <f>IF('Project Tracker'!D346="","",IF(COUNTIF('Project Tracker'!$D$2:D346,'Project Tracker'!D346)=1,MAX($AB$1:AB305)+1,""))</f>
        <v/>
      </c>
    </row>
    <row r="307" spans="28:28" ht="15" customHeight="1">
      <c r="AB307" t="str">
        <f>IF('Project Tracker'!D347="","",IF(COUNTIF('Project Tracker'!$D$2:D347,'Project Tracker'!D347)=1,MAX($AB$1:AB306)+1,""))</f>
        <v/>
      </c>
    </row>
    <row r="308" spans="28:28" ht="15" customHeight="1">
      <c r="AB308" t="str">
        <f>IF('Project Tracker'!D348="","",IF(COUNTIF('Project Tracker'!$D$2:D348,'Project Tracker'!D348)=1,MAX($AB$1:AB307)+1,""))</f>
        <v/>
      </c>
    </row>
    <row r="309" spans="28:28" ht="15" customHeight="1">
      <c r="AB309" t="str">
        <f>IF('Project Tracker'!D349="","",IF(COUNTIF('Project Tracker'!$D$2:D349,'Project Tracker'!D349)=1,MAX($AB$1:AB308)+1,""))</f>
        <v/>
      </c>
    </row>
    <row r="310" spans="28:28" ht="15" customHeight="1">
      <c r="AB310" t="str">
        <f>IF('Project Tracker'!D350="","",IF(COUNTIF('Project Tracker'!$D$2:D350,'Project Tracker'!D350)=1,MAX($AB$1:AB309)+1,""))</f>
        <v/>
      </c>
    </row>
    <row r="311" spans="28:28" ht="15" customHeight="1">
      <c r="AB311" t="str">
        <f>IF('Project Tracker'!D351="","",IF(COUNTIF('Project Tracker'!$D$2:D351,'Project Tracker'!D351)=1,MAX($AB$1:AB310)+1,""))</f>
        <v/>
      </c>
    </row>
    <row r="312" spans="28:28" ht="15" customHeight="1">
      <c r="AB312" t="str">
        <f>IF('Project Tracker'!D352="","",IF(COUNTIF('Project Tracker'!$D$2:D352,'Project Tracker'!D352)=1,MAX($AB$1:AB311)+1,""))</f>
        <v/>
      </c>
    </row>
    <row r="313" spans="28:28" ht="15" customHeight="1">
      <c r="AB313" t="str">
        <f>IF('Project Tracker'!D353="","",IF(COUNTIF('Project Tracker'!$D$2:D353,'Project Tracker'!D353)=1,MAX($AB$1:AB312)+1,""))</f>
        <v/>
      </c>
    </row>
    <row r="314" spans="28:28" ht="15" customHeight="1">
      <c r="AB314" t="str">
        <f>IF('Project Tracker'!D354="","",IF(COUNTIF('Project Tracker'!$D$2:D354,'Project Tracker'!D354)=1,MAX($AB$1:AB313)+1,""))</f>
        <v/>
      </c>
    </row>
    <row r="315" spans="28:28" ht="15" customHeight="1">
      <c r="AB315" t="str">
        <f>IF('Project Tracker'!D355="","",IF(COUNTIF('Project Tracker'!$D$2:D355,'Project Tracker'!D355)=1,MAX($AB$1:AB314)+1,""))</f>
        <v/>
      </c>
    </row>
    <row r="316" spans="28:28" ht="15" customHeight="1">
      <c r="AB316" t="str">
        <f>IF('Project Tracker'!D356="","",IF(COUNTIF('Project Tracker'!$D$2:D356,'Project Tracker'!D356)=1,MAX($AB$1:AB315)+1,""))</f>
        <v/>
      </c>
    </row>
    <row r="317" spans="28:28" ht="15" customHeight="1">
      <c r="AB317" t="str">
        <f>IF('Project Tracker'!D357="","",IF(COUNTIF('Project Tracker'!$D$2:D357,'Project Tracker'!D357)=1,MAX($AB$1:AB316)+1,""))</f>
        <v/>
      </c>
    </row>
    <row r="318" spans="28:28" ht="15" customHeight="1">
      <c r="AB318" t="str">
        <f>IF('Project Tracker'!D358="","",IF(COUNTIF('Project Tracker'!$D$2:D358,'Project Tracker'!D358)=1,MAX($AB$1:AB317)+1,""))</f>
        <v/>
      </c>
    </row>
    <row r="319" spans="28:28" ht="15" customHeight="1">
      <c r="AB319" t="str">
        <f>IF('Project Tracker'!D359="","",IF(COUNTIF('Project Tracker'!$D$2:D359,'Project Tracker'!D359)=1,MAX($AB$1:AB318)+1,""))</f>
        <v/>
      </c>
    </row>
    <row r="320" spans="28:28" ht="15" customHeight="1">
      <c r="AB320" t="str">
        <f>IF('Project Tracker'!D360="","",IF(COUNTIF('Project Tracker'!$D$2:D360,'Project Tracker'!D360)=1,MAX($AB$1:AB319)+1,""))</f>
        <v/>
      </c>
    </row>
    <row r="321" spans="28:28" ht="15" customHeight="1">
      <c r="AB321" t="str">
        <f>IF('Project Tracker'!D361="","",IF(COUNTIF('Project Tracker'!$D$2:D361,'Project Tracker'!D361)=1,MAX($AB$1:AB320)+1,""))</f>
        <v/>
      </c>
    </row>
    <row r="322" spans="28:28" ht="15" customHeight="1">
      <c r="AB322" t="str">
        <f>IF('Project Tracker'!D362="","",IF(COUNTIF('Project Tracker'!$D$2:D362,'Project Tracker'!D362)=1,MAX($AB$1:AB321)+1,""))</f>
        <v/>
      </c>
    </row>
    <row r="323" spans="28:28" ht="15" customHeight="1">
      <c r="AB323" t="str">
        <f>IF('Project Tracker'!D363="","",IF(COUNTIF('Project Tracker'!$D$2:D363,'Project Tracker'!D363)=1,MAX($AB$1:AB322)+1,""))</f>
        <v/>
      </c>
    </row>
    <row r="324" spans="28:28" ht="15" customHeight="1">
      <c r="AB324" t="str">
        <f>IF('Project Tracker'!D364="","",IF(COUNTIF('Project Tracker'!$D$2:D364,'Project Tracker'!D364)=1,MAX($AB$1:AB323)+1,""))</f>
        <v/>
      </c>
    </row>
    <row r="325" spans="28:28" ht="15" customHeight="1">
      <c r="AB325" t="str">
        <f>IF('Project Tracker'!D365="","",IF(COUNTIF('Project Tracker'!$D$2:D365,'Project Tracker'!D365)=1,MAX($AB$1:AB324)+1,""))</f>
        <v/>
      </c>
    </row>
    <row r="326" spans="28:28" ht="15" customHeight="1">
      <c r="AB326" t="str">
        <f>IF('Project Tracker'!D366="","",IF(COUNTIF('Project Tracker'!$D$2:D366,'Project Tracker'!D366)=1,MAX($AB$1:AB325)+1,""))</f>
        <v/>
      </c>
    </row>
    <row r="327" spans="28:28" ht="15" customHeight="1">
      <c r="AB327" t="str">
        <f>IF('Project Tracker'!D367="","",IF(COUNTIF('Project Tracker'!$D$2:D367,'Project Tracker'!D367)=1,MAX($AB$1:AB326)+1,""))</f>
        <v/>
      </c>
    </row>
    <row r="328" spans="28:28" ht="15" customHeight="1">
      <c r="AB328" t="str">
        <f>IF('Project Tracker'!D368="","",IF(COUNTIF('Project Tracker'!$D$2:D368,'Project Tracker'!D368)=1,MAX($AB$1:AB327)+1,""))</f>
        <v/>
      </c>
    </row>
    <row r="329" spans="28:28" ht="15" customHeight="1">
      <c r="AB329" t="str">
        <f>IF('Project Tracker'!D369="","",IF(COUNTIF('Project Tracker'!$D$2:D369,'Project Tracker'!D369)=1,MAX($AB$1:AB328)+1,""))</f>
        <v/>
      </c>
    </row>
    <row r="330" spans="28:28" ht="15" customHeight="1">
      <c r="AB330" t="str">
        <f>IF('Project Tracker'!D370="","",IF(COUNTIF('Project Tracker'!$D$2:D370,'Project Tracker'!D370)=1,MAX($AB$1:AB329)+1,""))</f>
        <v/>
      </c>
    </row>
    <row r="331" spans="28:28" ht="15" customHeight="1">
      <c r="AB331" t="str">
        <f>IF('Project Tracker'!D371="","",IF(COUNTIF('Project Tracker'!$D$2:D371,'Project Tracker'!D371)=1,MAX($AB$1:AB330)+1,""))</f>
        <v/>
      </c>
    </row>
    <row r="332" spans="28:28" ht="15" customHeight="1">
      <c r="AB332" t="str">
        <f>IF('Project Tracker'!D372="","",IF(COUNTIF('Project Tracker'!$D$2:D372,'Project Tracker'!D372)=1,MAX($AB$1:AB331)+1,""))</f>
        <v/>
      </c>
    </row>
    <row r="333" spans="28:28" ht="15" customHeight="1">
      <c r="AB333" t="str">
        <f>IF('Project Tracker'!D373="","",IF(COUNTIF('Project Tracker'!$D$2:D373,'Project Tracker'!D373)=1,MAX($AB$1:AB332)+1,""))</f>
        <v/>
      </c>
    </row>
    <row r="334" spans="28:28" ht="15" customHeight="1">
      <c r="AB334" t="str">
        <f>IF('Project Tracker'!D374="","",IF(COUNTIF('Project Tracker'!$D$2:D374,'Project Tracker'!D374)=1,MAX($AB$1:AB333)+1,""))</f>
        <v/>
      </c>
    </row>
    <row r="335" spans="28:28" ht="15" customHeight="1">
      <c r="AB335" t="str">
        <f>IF('Project Tracker'!D375="","",IF(COUNTIF('Project Tracker'!$D$2:D375,'Project Tracker'!D375)=1,MAX($AB$1:AB334)+1,""))</f>
        <v/>
      </c>
    </row>
    <row r="336" spans="28:28" ht="15" customHeight="1">
      <c r="AB336" t="str">
        <f>IF('Project Tracker'!D376="","",IF(COUNTIF('Project Tracker'!$D$2:D376,'Project Tracker'!D376)=1,MAX($AB$1:AB335)+1,""))</f>
        <v/>
      </c>
    </row>
    <row r="337" spans="28:28" ht="15" customHeight="1">
      <c r="AB337" t="str">
        <f>IF('Project Tracker'!D377="","",IF(COUNTIF('Project Tracker'!$D$2:D377,'Project Tracker'!D377)=1,MAX($AB$1:AB336)+1,""))</f>
        <v/>
      </c>
    </row>
    <row r="338" spans="28:28" ht="15" customHeight="1">
      <c r="AB338" t="str">
        <f>IF('Project Tracker'!D378="","",IF(COUNTIF('Project Tracker'!$D$2:D378,'Project Tracker'!D378)=1,MAX($AB$1:AB337)+1,""))</f>
        <v/>
      </c>
    </row>
    <row r="339" spans="28:28" ht="15" customHeight="1">
      <c r="AB339" t="str">
        <f>IF('Project Tracker'!D379="","",IF(COUNTIF('Project Tracker'!$D$2:D379,'Project Tracker'!D379)=1,MAX($AB$1:AB338)+1,""))</f>
        <v/>
      </c>
    </row>
    <row r="340" spans="28:28" ht="15" customHeight="1">
      <c r="AB340" t="str">
        <f>IF('Project Tracker'!D380="","",IF(COUNTIF('Project Tracker'!$D$2:D380,'Project Tracker'!D380)=1,MAX($AB$1:AB339)+1,""))</f>
        <v/>
      </c>
    </row>
    <row r="341" spans="28:28" ht="15" customHeight="1">
      <c r="AB341" t="str">
        <f>IF('Project Tracker'!D381="","",IF(COUNTIF('Project Tracker'!$D$2:D381,'Project Tracker'!D381)=1,MAX($AB$1:AB340)+1,""))</f>
        <v/>
      </c>
    </row>
    <row r="342" spans="28:28" ht="15" customHeight="1">
      <c r="AB342" t="str">
        <f>IF('Project Tracker'!D382="","",IF(COUNTIF('Project Tracker'!$D$2:D382,'Project Tracker'!D382)=1,MAX($AB$1:AB341)+1,""))</f>
        <v/>
      </c>
    </row>
    <row r="343" spans="28:28" ht="15" customHeight="1">
      <c r="AB343" t="str">
        <f>IF('Project Tracker'!D383="","",IF(COUNTIF('Project Tracker'!$D$2:D383,'Project Tracker'!D383)=1,MAX($AB$1:AB342)+1,""))</f>
        <v/>
      </c>
    </row>
    <row r="344" spans="28:28" ht="15" customHeight="1">
      <c r="AB344" t="str">
        <f>IF('Project Tracker'!D384="","",IF(COUNTIF('Project Tracker'!$D$2:D384,'Project Tracker'!D384)=1,MAX($AB$1:AB343)+1,""))</f>
        <v/>
      </c>
    </row>
    <row r="345" spans="28:28" ht="15" customHeight="1">
      <c r="AB345" t="str">
        <f>IF('Project Tracker'!D385="","",IF(COUNTIF('Project Tracker'!$D$2:D385,'Project Tracker'!D385)=1,MAX($AB$1:AB344)+1,""))</f>
        <v/>
      </c>
    </row>
    <row r="346" spans="28:28" ht="15" customHeight="1">
      <c r="AB346" t="str">
        <f>IF('Project Tracker'!D386="","",IF(COUNTIF('Project Tracker'!$D$2:D386,'Project Tracker'!D386)=1,MAX($AB$1:AB345)+1,""))</f>
        <v/>
      </c>
    </row>
    <row r="347" spans="28:28" ht="15" customHeight="1">
      <c r="AB347" t="str">
        <f>IF('Project Tracker'!D387="","",IF(COUNTIF('Project Tracker'!$D$2:D387,'Project Tracker'!D387)=1,MAX($AB$1:AB346)+1,""))</f>
        <v/>
      </c>
    </row>
    <row r="348" spans="28:28" ht="15" customHeight="1">
      <c r="AB348" t="str">
        <f>IF('Project Tracker'!D388="","",IF(COUNTIF('Project Tracker'!$D$2:D388,'Project Tracker'!D388)=1,MAX($AB$1:AB347)+1,""))</f>
        <v/>
      </c>
    </row>
    <row r="349" spans="28:28" ht="15" customHeight="1">
      <c r="AB349" t="str">
        <f>IF('Project Tracker'!D389="","",IF(COUNTIF('Project Tracker'!$D$2:D389,'Project Tracker'!D389)=1,MAX($AB$1:AB348)+1,""))</f>
        <v/>
      </c>
    </row>
    <row r="350" spans="28:28" ht="15" customHeight="1">
      <c r="AB350" t="str">
        <f>IF('Project Tracker'!D390="","",IF(COUNTIF('Project Tracker'!$D$2:D390,'Project Tracker'!D390)=1,MAX($AB$1:AB349)+1,""))</f>
        <v/>
      </c>
    </row>
    <row r="351" spans="28:28" ht="15" customHeight="1">
      <c r="AB351" t="str">
        <f>IF('Project Tracker'!D391="","",IF(COUNTIF('Project Tracker'!$D$2:D391,'Project Tracker'!D391)=1,MAX($AB$1:AB350)+1,""))</f>
        <v/>
      </c>
    </row>
    <row r="352" spans="28:28" ht="15" customHeight="1">
      <c r="AB352" t="str">
        <f>IF('Project Tracker'!D392="","",IF(COUNTIF('Project Tracker'!$D$2:D392,'Project Tracker'!D392)=1,MAX($AB$1:AB351)+1,""))</f>
        <v/>
      </c>
    </row>
    <row r="353" spans="28:28" ht="15" customHeight="1">
      <c r="AB353" t="str">
        <f>IF('Project Tracker'!D393="","",IF(COUNTIF('Project Tracker'!$D$2:D393,'Project Tracker'!D393)=1,MAX($AB$1:AB352)+1,""))</f>
        <v/>
      </c>
    </row>
    <row r="354" spans="28:28" ht="15" customHeight="1">
      <c r="AB354" t="str">
        <f>IF('Project Tracker'!D394="","",IF(COUNTIF('Project Tracker'!$D$2:D394,'Project Tracker'!D394)=1,MAX($AB$1:AB353)+1,""))</f>
        <v/>
      </c>
    </row>
    <row r="355" spans="28:28" ht="15" customHeight="1">
      <c r="AB355" t="str">
        <f>IF('Project Tracker'!D395="","",IF(COUNTIF('Project Tracker'!$D$2:D395,'Project Tracker'!D395)=1,MAX($AB$1:AB354)+1,""))</f>
        <v/>
      </c>
    </row>
    <row r="356" spans="28:28" ht="15" customHeight="1">
      <c r="AB356" t="str">
        <f>IF('Project Tracker'!D396="","",IF(COUNTIF('Project Tracker'!$D$2:D396,'Project Tracker'!D396)=1,MAX($AB$1:AB355)+1,""))</f>
        <v/>
      </c>
    </row>
    <row r="357" spans="28:28" ht="15" customHeight="1">
      <c r="AB357" t="str">
        <f>IF('Project Tracker'!D397="","",IF(COUNTIF('Project Tracker'!$D$2:D397,'Project Tracker'!D397)=1,MAX($AB$1:AB356)+1,""))</f>
        <v/>
      </c>
    </row>
    <row r="358" spans="28:28" ht="15" customHeight="1">
      <c r="AB358" t="str">
        <f>IF('Project Tracker'!D398="","",IF(COUNTIF('Project Tracker'!$D$2:D398,'Project Tracker'!D398)=1,MAX($AB$1:AB357)+1,""))</f>
        <v/>
      </c>
    </row>
    <row r="359" spans="28:28" ht="15" customHeight="1">
      <c r="AB359" t="str">
        <f>IF('Project Tracker'!D399="","",IF(COUNTIF('Project Tracker'!$D$2:D399,'Project Tracker'!D399)=1,MAX($AB$1:AB358)+1,""))</f>
        <v/>
      </c>
    </row>
    <row r="360" spans="28:28" ht="15" customHeight="1">
      <c r="AB360" t="str">
        <f>IF('Project Tracker'!D400="","",IF(COUNTIF('Project Tracker'!$D$2:D400,'Project Tracker'!D400)=1,MAX($AB$1:AB359)+1,""))</f>
        <v/>
      </c>
    </row>
    <row r="361" spans="28:28" ht="15" customHeight="1">
      <c r="AB361" t="str">
        <f>IF('Project Tracker'!D401="","",IF(COUNTIF('Project Tracker'!$D$2:D401,'Project Tracker'!D401)=1,MAX($AB$1:AB360)+1,""))</f>
        <v/>
      </c>
    </row>
    <row r="362" spans="28:28" ht="15" customHeight="1">
      <c r="AB362" t="str">
        <f>IF('Project Tracker'!D402="","",IF(COUNTIF('Project Tracker'!$D$2:D402,'Project Tracker'!D402)=1,MAX($AB$1:AB361)+1,""))</f>
        <v/>
      </c>
    </row>
    <row r="363" spans="28:28" ht="15" customHeight="1">
      <c r="AB363" t="str">
        <f>IF('Project Tracker'!D403="","",IF(COUNTIF('Project Tracker'!$D$2:D403,'Project Tracker'!D403)=1,MAX($AB$1:AB362)+1,""))</f>
        <v/>
      </c>
    </row>
    <row r="364" spans="28:28" ht="15" customHeight="1">
      <c r="AB364" t="str">
        <f>IF('Project Tracker'!D404="","",IF(COUNTIF('Project Tracker'!$D$2:D404,'Project Tracker'!D404)=1,MAX($AB$1:AB363)+1,""))</f>
        <v/>
      </c>
    </row>
    <row r="365" spans="28:28" ht="15" customHeight="1">
      <c r="AB365" t="str">
        <f>IF('Project Tracker'!D405="","",IF(COUNTIF('Project Tracker'!$D$2:D405,'Project Tracker'!D405)=1,MAX($AB$1:AB364)+1,""))</f>
        <v/>
      </c>
    </row>
    <row r="366" spans="28:28" ht="15" customHeight="1">
      <c r="AB366" t="str">
        <f>IF('Project Tracker'!D406="","",IF(COUNTIF('Project Tracker'!$D$2:D406,'Project Tracker'!D406)=1,MAX($AB$1:AB365)+1,""))</f>
        <v/>
      </c>
    </row>
    <row r="367" spans="28:28" ht="15" customHeight="1">
      <c r="AB367" t="str">
        <f>IF('Project Tracker'!D407="","",IF(COUNTIF('Project Tracker'!$D$2:D407,'Project Tracker'!D407)=1,MAX($AB$1:AB366)+1,""))</f>
        <v/>
      </c>
    </row>
    <row r="368" spans="28:28" ht="15" customHeight="1">
      <c r="AB368" t="str">
        <f>IF('Project Tracker'!D408="","",IF(COUNTIF('Project Tracker'!$D$2:D408,'Project Tracker'!D408)=1,MAX($AB$1:AB367)+1,""))</f>
        <v/>
      </c>
    </row>
    <row r="369" spans="28:28" ht="15" customHeight="1">
      <c r="AB369" t="str">
        <f>IF('Project Tracker'!D409="","",IF(COUNTIF('Project Tracker'!$D$2:D409,'Project Tracker'!D409)=1,MAX($AB$1:AB368)+1,""))</f>
        <v/>
      </c>
    </row>
    <row r="370" spans="28:28" ht="15" customHeight="1">
      <c r="AB370" t="str">
        <f>IF('Project Tracker'!D410="","",IF(COUNTIF('Project Tracker'!$D$2:D410,'Project Tracker'!D410)=1,MAX($AB$1:AB369)+1,""))</f>
        <v/>
      </c>
    </row>
    <row r="371" spans="28:28" ht="15" customHeight="1">
      <c r="AB371" t="str">
        <f>IF('Project Tracker'!D411="","",IF(COUNTIF('Project Tracker'!$D$2:D411,'Project Tracker'!D411)=1,MAX($AB$1:AB370)+1,""))</f>
        <v/>
      </c>
    </row>
    <row r="372" spans="28:28" ht="15" customHeight="1">
      <c r="AB372" t="str">
        <f>IF('Project Tracker'!D412="","",IF(COUNTIF('Project Tracker'!$D$2:D412,'Project Tracker'!D412)=1,MAX($AB$1:AB371)+1,""))</f>
        <v/>
      </c>
    </row>
    <row r="373" spans="28:28" ht="15" customHeight="1">
      <c r="AB373" t="str">
        <f>IF('Project Tracker'!D413="","",IF(COUNTIF('Project Tracker'!$D$2:D413,'Project Tracker'!D413)=1,MAX($AB$1:AB372)+1,""))</f>
        <v/>
      </c>
    </row>
    <row r="374" spans="28:28" ht="15" customHeight="1">
      <c r="AB374" t="str">
        <f>IF('Project Tracker'!D414="","",IF(COUNTIF('Project Tracker'!$D$2:D414,'Project Tracker'!D414)=1,MAX($AB$1:AB373)+1,""))</f>
        <v/>
      </c>
    </row>
    <row r="375" spans="28:28" ht="15" customHeight="1">
      <c r="AB375" t="str">
        <f>IF('Project Tracker'!D415="","",IF(COUNTIF('Project Tracker'!$D$2:D415,'Project Tracker'!D415)=1,MAX($AB$1:AB374)+1,""))</f>
        <v/>
      </c>
    </row>
    <row r="376" spans="28:28" ht="15" customHeight="1">
      <c r="AB376" t="str">
        <f>IF('Project Tracker'!D416="","",IF(COUNTIF('Project Tracker'!$D$2:D416,'Project Tracker'!D416)=1,MAX($AB$1:AB375)+1,""))</f>
        <v/>
      </c>
    </row>
    <row r="377" spans="28:28" ht="15" customHeight="1">
      <c r="AB377" t="str">
        <f>IF('Project Tracker'!D417="","",IF(COUNTIF('Project Tracker'!$D$2:D417,'Project Tracker'!D417)=1,MAX($AB$1:AB376)+1,""))</f>
        <v/>
      </c>
    </row>
    <row r="378" spans="28:28" ht="15" customHeight="1">
      <c r="AB378" t="str">
        <f>IF('Project Tracker'!D418="","",IF(COUNTIF('Project Tracker'!$D$2:D418,'Project Tracker'!D418)=1,MAX($AB$1:AB377)+1,""))</f>
        <v/>
      </c>
    </row>
    <row r="379" spans="28:28" ht="15" customHeight="1">
      <c r="AB379" t="str">
        <f>IF('Project Tracker'!D419="","",IF(COUNTIF('Project Tracker'!$D$2:D419,'Project Tracker'!D419)=1,MAX($AB$1:AB378)+1,""))</f>
        <v/>
      </c>
    </row>
    <row r="380" spans="28:28" ht="15" customHeight="1">
      <c r="AB380" t="str">
        <f>IF('Project Tracker'!D420="","",IF(COUNTIF('Project Tracker'!$D$2:D420,'Project Tracker'!D420)=1,MAX($AB$1:AB379)+1,""))</f>
        <v/>
      </c>
    </row>
    <row r="381" spans="28:28" ht="15" customHeight="1">
      <c r="AB381" t="str">
        <f>IF('Project Tracker'!D421="","",IF(COUNTIF('Project Tracker'!$D$2:D421,'Project Tracker'!D421)=1,MAX($AB$1:AB380)+1,""))</f>
        <v/>
      </c>
    </row>
    <row r="382" spans="28:28" ht="15" customHeight="1">
      <c r="AB382" t="str">
        <f>IF('Project Tracker'!D422="","",IF(COUNTIF('Project Tracker'!$D$2:D422,'Project Tracker'!D422)=1,MAX($AB$1:AB381)+1,""))</f>
        <v/>
      </c>
    </row>
    <row r="383" spans="28:28" ht="15" customHeight="1">
      <c r="AB383" t="str">
        <f>IF('Project Tracker'!D423="","",IF(COUNTIF('Project Tracker'!$D$2:D423,'Project Tracker'!D423)=1,MAX($AB$1:AB382)+1,""))</f>
        <v/>
      </c>
    </row>
    <row r="384" spans="28:28" ht="15" customHeight="1">
      <c r="AB384" t="str">
        <f>IF('Project Tracker'!D424="","",IF(COUNTIF('Project Tracker'!$D$2:D424,'Project Tracker'!D424)=1,MAX($AB$1:AB383)+1,""))</f>
        <v/>
      </c>
    </row>
    <row r="385" spans="28:28" ht="15" customHeight="1">
      <c r="AB385" t="str">
        <f>IF('Project Tracker'!D425="","",IF(COUNTIF('Project Tracker'!$D$2:D425,'Project Tracker'!D425)=1,MAX($AB$1:AB384)+1,""))</f>
        <v/>
      </c>
    </row>
    <row r="386" spans="28:28" ht="15" customHeight="1">
      <c r="AB386" t="str">
        <f>IF('Project Tracker'!D426="","",IF(COUNTIF('Project Tracker'!$D$2:D426,'Project Tracker'!D426)=1,MAX($AB$1:AB385)+1,""))</f>
        <v/>
      </c>
    </row>
    <row r="387" spans="28:28" ht="15" customHeight="1">
      <c r="AB387" t="str">
        <f>IF('Project Tracker'!D427="","",IF(COUNTIF('Project Tracker'!$D$2:D427,'Project Tracker'!D427)=1,MAX($AB$1:AB386)+1,""))</f>
        <v/>
      </c>
    </row>
    <row r="388" spans="28:28" ht="15" customHeight="1">
      <c r="AB388" t="str">
        <f>IF('Project Tracker'!D428="","",IF(COUNTIF('Project Tracker'!$D$2:D428,'Project Tracker'!D428)=1,MAX($AB$1:AB387)+1,""))</f>
        <v/>
      </c>
    </row>
    <row r="389" spans="28:28" ht="15" customHeight="1">
      <c r="AB389" t="str">
        <f>IF('Project Tracker'!D429="","",IF(COUNTIF('Project Tracker'!$D$2:D429,'Project Tracker'!D429)=1,MAX($AB$1:AB388)+1,""))</f>
        <v/>
      </c>
    </row>
    <row r="390" spans="28:28" ht="15" customHeight="1">
      <c r="AB390" t="str">
        <f>IF('Project Tracker'!D430="","",IF(COUNTIF('Project Tracker'!$D$2:D430,'Project Tracker'!D430)=1,MAX($AB$1:AB389)+1,""))</f>
        <v/>
      </c>
    </row>
    <row r="391" spans="28:28" ht="15" customHeight="1">
      <c r="AB391" t="str">
        <f>IF('Project Tracker'!D431="","",IF(COUNTIF('Project Tracker'!$D$2:D431,'Project Tracker'!D431)=1,MAX($AB$1:AB390)+1,""))</f>
        <v/>
      </c>
    </row>
    <row r="392" spans="28:28" ht="15" customHeight="1">
      <c r="AB392" t="str">
        <f>IF('Project Tracker'!D432="","",IF(COUNTIF('Project Tracker'!$D$2:D432,'Project Tracker'!D432)=1,MAX($AB$1:AB391)+1,""))</f>
        <v/>
      </c>
    </row>
    <row r="393" spans="28:28" ht="15" customHeight="1">
      <c r="AB393" t="str">
        <f>IF('Project Tracker'!D433="","",IF(COUNTIF('Project Tracker'!$D$2:D433,'Project Tracker'!D433)=1,MAX($AB$1:AB392)+1,""))</f>
        <v/>
      </c>
    </row>
    <row r="394" spans="28:28" ht="15" customHeight="1">
      <c r="AB394" t="str">
        <f>IF('Project Tracker'!D434="","",IF(COUNTIF('Project Tracker'!$D$2:D434,'Project Tracker'!D434)=1,MAX($AB$1:AB393)+1,""))</f>
        <v/>
      </c>
    </row>
    <row r="395" spans="28:28" ht="15" customHeight="1">
      <c r="AB395" t="str">
        <f>IF('Project Tracker'!D435="","",IF(COUNTIF('Project Tracker'!$D$2:D435,'Project Tracker'!D435)=1,MAX($AB$1:AB394)+1,""))</f>
        <v/>
      </c>
    </row>
    <row r="396" spans="28:28" ht="15" customHeight="1">
      <c r="AB396" t="str">
        <f>IF('Project Tracker'!D436="","",IF(COUNTIF('Project Tracker'!$D$2:D436,'Project Tracker'!D436)=1,MAX($AB$1:AB395)+1,""))</f>
        <v/>
      </c>
    </row>
    <row r="397" spans="28:28" ht="15" customHeight="1">
      <c r="AB397" t="str">
        <f>IF('Project Tracker'!D437="","",IF(COUNTIF('Project Tracker'!$D$2:D437,'Project Tracker'!D437)=1,MAX($AB$1:AB396)+1,""))</f>
        <v/>
      </c>
    </row>
    <row r="398" spans="28:28" ht="15" customHeight="1">
      <c r="AB398" t="str">
        <f>IF('Project Tracker'!D438="","",IF(COUNTIF('Project Tracker'!$D$2:D438,'Project Tracker'!D438)=1,MAX($AB$1:AB397)+1,""))</f>
        <v/>
      </c>
    </row>
    <row r="399" spans="28:28" ht="15" customHeight="1">
      <c r="AB399" t="str">
        <f>IF('Project Tracker'!D439="","",IF(COUNTIF('Project Tracker'!$D$2:D439,'Project Tracker'!D439)=1,MAX($AB$1:AB398)+1,""))</f>
        <v/>
      </c>
    </row>
    <row r="400" spans="28:28" ht="15" customHeight="1">
      <c r="AB400" t="str">
        <f>IF('Project Tracker'!D440="","",IF(COUNTIF('Project Tracker'!$D$2:D440,'Project Tracker'!D440)=1,MAX($AB$1:AB399)+1,""))</f>
        <v/>
      </c>
    </row>
    <row r="401" spans="28:28" ht="15" customHeight="1">
      <c r="AB401" t="str">
        <f>IF('Project Tracker'!D441="","",IF(COUNTIF('Project Tracker'!$D$2:D441,'Project Tracker'!D441)=1,MAX($AB$1:AB400)+1,""))</f>
        <v/>
      </c>
    </row>
    <row r="402" spans="28:28" ht="15" customHeight="1">
      <c r="AB402" t="str">
        <f>IF('Project Tracker'!D442="","",IF(COUNTIF('Project Tracker'!$D$2:D442,'Project Tracker'!D442)=1,MAX($AB$1:AB401)+1,""))</f>
        <v/>
      </c>
    </row>
    <row r="403" spans="28:28" ht="15" customHeight="1">
      <c r="AB403" t="str">
        <f>IF('Project Tracker'!D443="","",IF(COUNTIF('Project Tracker'!$D$2:D443,'Project Tracker'!D443)=1,MAX($AB$1:AB402)+1,""))</f>
        <v/>
      </c>
    </row>
    <row r="404" spans="28:28" ht="15" customHeight="1">
      <c r="AB404" t="str">
        <f>IF('Project Tracker'!D444="","",IF(COUNTIF('Project Tracker'!$D$2:D444,'Project Tracker'!D444)=1,MAX($AB$1:AB403)+1,""))</f>
        <v/>
      </c>
    </row>
    <row r="405" spans="28:28" ht="15" customHeight="1">
      <c r="AB405" t="str">
        <f>IF('Project Tracker'!D445="","",IF(COUNTIF('Project Tracker'!$D$2:D445,'Project Tracker'!D445)=1,MAX($AB$1:AB404)+1,""))</f>
        <v/>
      </c>
    </row>
    <row r="406" spans="28:28" ht="15" customHeight="1">
      <c r="AB406" t="str">
        <f>IF('Project Tracker'!D446="","",IF(COUNTIF('Project Tracker'!$D$2:D446,'Project Tracker'!D446)=1,MAX($AB$1:AB405)+1,""))</f>
        <v/>
      </c>
    </row>
    <row r="407" spans="28:28" ht="15" customHeight="1">
      <c r="AB407" t="str">
        <f>IF('Project Tracker'!D447="","",IF(COUNTIF('Project Tracker'!$D$2:D447,'Project Tracker'!D447)=1,MAX($AB$1:AB406)+1,""))</f>
        <v/>
      </c>
    </row>
    <row r="408" spans="28:28" ht="15" customHeight="1">
      <c r="AB408" t="str">
        <f>IF('Project Tracker'!D448="","",IF(COUNTIF('Project Tracker'!$D$2:D448,'Project Tracker'!D448)=1,MAX($AB$1:AB407)+1,""))</f>
        <v/>
      </c>
    </row>
    <row r="409" spans="28:28" ht="15" customHeight="1">
      <c r="AB409" t="str">
        <f>IF('Project Tracker'!D449="","",IF(COUNTIF('Project Tracker'!$D$2:D449,'Project Tracker'!D449)=1,MAX($AB$1:AB408)+1,""))</f>
        <v/>
      </c>
    </row>
    <row r="410" spans="28:28" ht="15" customHeight="1">
      <c r="AB410" t="str">
        <f>IF('Project Tracker'!D450="","",IF(COUNTIF('Project Tracker'!$D$2:D450,'Project Tracker'!D450)=1,MAX($AB$1:AB409)+1,""))</f>
        <v/>
      </c>
    </row>
    <row r="411" spans="28:28" ht="15" customHeight="1">
      <c r="AB411" t="str">
        <f>IF('Project Tracker'!D451="","",IF(COUNTIF('Project Tracker'!$D$2:D451,'Project Tracker'!D451)=1,MAX($AB$1:AB410)+1,""))</f>
        <v/>
      </c>
    </row>
    <row r="412" spans="28:28" ht="15" customHeight="1">
      <c r="AB412" t="str">
        <f>IF('Project Tracker'!D452="","",IF(COUNTIF('Project Tracker'!$D$2:D452,'Project Tracker'!D452)=1,MAX($AB$1:AB411)+1,""))</f>
        <v/>
      </c>
    </row>
    <row r="413" spans="28:28" ht="15" customHeight="1">
      <c r="AB413" t="str">
        <f>IF('Project Tracker'!D453="","",IF(COUNTIF('Project Tracker'!$D$2:D453,'Project Tracker'!D453)=1,MAX($AB$1:AB412)+1,""))</f>
        <v/>
      </c>
    </row>
    <row r="414" spans="28:28" ht="15" customHeight="1">
      <c r="AB414" t="str">
        <f>IF('Project Tracker'!D454="","",IF(COUNTIF('Project Tracker'!$D$2:D454,'Project Tracker'!D454)=1,MAX($AB$1:AB413)+1,""))</f>
        <v/>
      </c>
    </row>
    <row r="415" spans="28:28" ht="15" customHeight="1">
      <c r="AB415" t="str">
        <f>IF('Project Tracker'!D455="","",IF(COUNTIF('Project Tracker'!$D$2:D455,'Project Tracker'!D455)=1,MAX($AB$1:AB414)+1,""))</f>
        <v/>
      </c>
    </row>
    <row r="416" spans="28:28" ht="15" customHeight="1">
      <c r="AB416" t="str">
        <f>IF('Project Tracker'!D456="","",IF(COUNTIF('Project Tracker'!$D$2:D456,'Project Tracker'!D456)=1,MAX($AB$1:AB415)+1,""))</f>
        <v/>
      </c>
    </row>
    <row r="417" spans="28:28" ht="15" customHeight="1">
      <c r="AB417" t="str">
        <f>IF('Project Tracker'!D457="","",IF(COUNTIF('Project Tracker'!$D$2:D457,'Project Tracker'!D457)=1,MAX($AB$1:AB416)+1,""))</f>
        <v/>
      </c>
    </row>
    <row r="418" spans="28:28" ht="15" customHeight="1">
      <c r="AB418" t="str">
        <f>IF('Project Tracker'!D458="","",IF(COUNTIF('Project Tracker'!$D$2:D458,'Project Tracker'!D458)=1,MAX($AB$1:AB417)+1,""))</f>
        <v/>
      </c>
    </row>
    <row r="419" spans="28:28" ht="15" customHeight="1">
      <c r="AB419" t="str">
        <f>IF('Project Tracker'!D459="","",IF(COUNTIF('Project Tracker'!$D$2:D459,'Project Tracker'!D459)=1,MAX($AB$1:AB418)+1,""))</f>
        <v/>
      </c>
    </row>
    <row r="420" spans="28:28" ht="15" customHeight="1">
      <c r="AB420" t="str">
        <f>IF('Project Tracker'!D460="","",IF(COUNTIF('Project Tracker'!$D$2:D460,'Project Tracker'!D460)=1,MAX($AB$1:AB419)+1,""))</f>
        <v/>
      </c>
    </row>
    <row r="421" spans="28:28" ht="15" customHeight="1">
      <c r="AB421" t="str">
        <f>IF('Project Tracker'!D461="","",IF(COUNTIF('Project Tracker'!$D$2:D461,'Project Tracker'!D461)=1,MAX($AB$1:AB420)+1,""))</f>
        <v/>
      </c>
    </row>
    <row r="422" spans="28:28" ht="15" customHeight="1">
      <c r="AB422" t="str">
        <f>IF('Project Tracker'!D462="","",IF(COUNTIF('Project Tracker'!$D$2:D462,'Project Tracker'!D462)=1,MAX($AB$1:AB421)+1,""))</f>
        <v/>
      </c>
    </row>
    <row r="423" spans="28:28" ht="15" customHeight="1">
      <c r="AB423" t="str">
        <f>IF('Project Tracker'!D463="","",IF(COUNTIF('Project Tracker'!$D$2:D463,'Project Tracker'!D463)=1,MAX($AB$1:AB422)+1,""))</f>
        <v/>
      </c>
    </row>
    <row r="424" spans="28:28" ht="15" customHeight="1">
      <c r="AB424" t="str">
        <f>IF('Project Tracker'!D464="","",IF(COUNTIF('Project Tracker'!$D$2:D464,'Project Tracker'!D464)=1,MAX($AB$1:AB423)+1,""))</f>
        <v/>
      </c>
    </row>
    <row r="425" spans="28:28" ht="15" customHeight="1">
      <c r="AB425" t="str">
        <f>IF('Project Tracker'!D465="","",IF(COUNTIF('Project Tracker'!$D$2:D465,'Project Tracker'!D465)=1,MAX($AB$1:AB424)+1,""))</f>
        <v/>
      </c>
    </row>
    <row r="426" spans="28:28" ht="15" customHeight="1">
      <c r="AB426" t="str">
        <f>IF('Project Tracker'!D466="","",IF(COUNTIF('Project Tracker'!$D$2:D466,'Project Tracker'!D466)=1,MAX($AB$1:AB425)+1,""))</f>
        <v/>
      </c>
    </row>
    <row r="427" spans="28:28" ht="15" customHeight="1">
      <c r="AB427" t="str">
        <f>IF('Project Tracker'!D467="","",IF(COUNTIF('Project Tracker'!$D$2:D467,'Project Tracker'!D467)=1,MAX($AB$1:AB426)+1,""))</f>
        <v/>
      </c>
    </row>
    <row r="428" spans="28:28" ht="15" customHeight="1">
      <c r="AB428" t="str">
        <f>IF('Project Tracker'!D468="","",IF(COUNTIF('Project Tracker'!$D$2:D468,'Project Tracker'!D468)=1,MAX($AB$1:AB427)+1,""))</f>
        <v/>
      </c>
    </row>
    <row r="429" spans="28:28" ht="15" customHeight="1">
      <c r="AB429" t="str">
        <f>IF('Project Tracker'!D469="","",IF(COUNTIF('Project Tracker'!$D$2:D469,'Project Tracker'!D469)=1,MAX($AB$1:AB428)+1,""))</f>
        <v/>
      </c>
    </row>
    <row r="430" spans="28:28" ht="15" customHeight="1">
      <c r="AB430" t="str">
        <f>IF('Project Tracker'!D470="","",IF(COUNTIF('Project Tracker'!$D$2:D470,'Project Tracker'!D470)=1,MAX($AB$1:AB429)+1,""))</f>
        <v/>
      </c>
    </row>
    <row r="431" spans="28:28" ht="15" customHeight="1">
      <c r="AB431" t="str">
        <f>IF('Project Tracker'!D471="","",IF(COUNTIF('Project Tracker'!$D$2:D471,'Project Tracker'!D471)=1,MAX($AB$1:AB430)+1,""))</f>
        <v/>
      </c>
    </row>
    <row r="432" spans="28:28" ht="15" customHeight="1">
      <c r="AB432" t="str">
        <f>IF('Project Tracker'!D472="","",IF(COUNTIF('Project Tracker'!$D$2:D472,'Project Tracker'!D472)=1,MAX($AB$1:AB431)+1,""))</f>
        <v/>
      </c>
    </row>
    <row r="433" spans="28:28" ht="15" customHeight="1">
      <c r="AB433" t="str">
        <f>IF('Project Tracker'!D473="","",IF(COUNTIF('Project Tracker'!$D$2:D473,'Project Tracker'!D473)=1,MAX($AB$1:AB432)+1,""))</f>
        <v/>
      </c>
    </row>
    <row r="434" spans="28:28" ht="15" customHeight="1">
      <c r="AB434" t="str">
        <f>IF('Project Tracker'!D474="","",IF(COUNTIF('Project Tracker'!$D$2:D474,'Project Tracker'!D474)=1,MAX($AB$1:AB433)+1,""))</f>
        <v/>
      </c>
    </row>
    <row r="435" spans="28:28" ht="15" customHeight="1">
      <c r="AB435" t="str">
        <f>IF('Project Tracker'!D475="","",IF(COUNTIF('Project Tracker'!$D$2:D475,'Project Tracker'!D475)=1,MAX($AB$1:AB434)+1,""))</f>
        <v/>
      </c>
    </row>
    <row r="436" spans="28:28" ht="15" customHeight="1">
      <c r="AB436" t="str">
        <f>IF('Project Tracker'!D476="","",IF(COUNTIF('Project Tracker'!$D$2:D476,'Project Tracker'!D476)=1,MAX($AB$1:AB435)+1,""))</f>
        <v/>
      </c>
    </row>
    <row r="437" spans="28:28" ht="15" customHeight="1">
      <c r="AB437" t="str">
        <f>IF('Project Tracker'!D477="","",IF(COUNTIF('Project Tracker'!$D$2:D477,'Project Tracker'!D477)=1,MAX($AB$1:AB436)+1,""))</f>
        <v/>
      </c>
    </row>
    <row r="438" spans="28:28" ht="15" customHeight="1">
      <c r="AB438" t="str">
        <f>IF('Project Tracker'!D478="","",IF(COUNTIF('Project Tracker'!$D$2:D478,'Project Tracker'!D478)=1,MAX($AB$1:AB437)+1,""))</f>
        <v/>
      </c>
    </row>
    <row r="439" spans="28:28" ht="15" customHeight="1">
      <c r="AB439" t="str">
        <f>IF('Project Tracker'!D479="","",IF(COUNTIF('Project Tracker'!$D$2:D479,'Project Tracker'!D479)=1,MAX($AB$1:AB438)+1,""))</f>
        <v/>
      </c>
    </row>
    <row r="440" spans="28:28" ht="15" customHeight="1">
      <c r="AB440" t="str">
        <f>IF('Project Tracker'!D480="","",IF(COUNTIF('Project Tracker'!$D$2:D480,'Project Tracker'!D480)=1,MAX($AB$1:AB439)+1,""))</f>
        <v/>
      </c>
    </row>
    <row r="441" spans="28:28" ht="15" customHeight="1">
      <c r="AB441" t="str">
        <f>IF('Project Tracker'!D481="","",IF(COUNTIF('Project Tracker'!$D$2:D481,'Project Tracker'!D481)=1,MAX($AB$1:AB440)+1,""))</f>
        <v/>
      </c>
    </row>
    <row r="442" spans="28:28" ht="15" customHeight="1">
      <c r="AB442" t="str">
        <f>IF('Project Tracker'!D482="","",IF(COUNTIF('Project Tracker'!$D$2:D482,'Project Tracker'!D482)=1,MAX($AB$1:AB441)+1,""))</f>
        <v/>
      </c>
    </row>
    <row r="443" spans="28:28" ht="15" customHeight="1">
      <c r="AB443" t="str">
        <f>IF('Project Tracker'!D483="","",IF(COUNTIF('Project Tracker'!$D$2:D483,'Project Tracker'!D483)=1,MAX($AB$1:AB442)+1,""))</f>
        <v/>
      </c>
    </row>
    <row r="444" spans="28:28" ht="15" customHeight="1">
      <c r="AB444" t="str">
        <f>IF('Project Tracker'!D484="","",IF(COUNTIF('Project Tracker'!$D$2:D484,'Project Tracker'!D484)=1,MAX($AB$1:AB443)+1,""))</f>
        <v/>
      </c>
    </row>
    <row r="445" spans="28:28" ht="15" customHeight="1">
      <c r="AB445" t="str">
        <f>IF('Project Tracker'!D485="","",IF(COUNTIF('Project Tracker'!$D$2:D485,'Project Tracker'!D485)=1,MAX($AB$1:AB444)+1,""))</f>
        <v/>
      </c>
    </row>
    <row r="446" spans="28:28" ht="15" customHeight="1">
      <c r="AB446" t="str">
        <f>IF('Project Tracker'!D486="","",IF(COUNTIF('Project Tracker'!$D$2:D486,'Project Tracker'!D486)=1,MAX($AB$1:AB445)+1,""))</f>
        <v/>
      </c>
    </row>
    <row r="447" spans="28:28" ht="15" customHeight="1">
      <c r="AB447" t="str">
        <f>IF('Project Tracker'!D487="","",IF(COUNTIF('Project Tracker'!$D$2:D487,'Project Tracker'!D487)=1,MAX($AB$1:AB446)+1,""))</f>
        <v/>
      </c>
    </row>
    <row r="448" spans="28:28" ht="15" customHeight="1">
      <c r="AB448" t="str">
        <f>IF('Project Tracker'!D488="","",IF(COUNTIF('Project Tracker'!$D$2:D488,'Project Tracker'!D488)=1,MAX($AB$1:AB447)+1,""))</f>
        <v/>
      </c>
    </row>
    <row r="449" spans="28:28" ht="15" customHeight="1">
      <c r="AB449" t="str">
        <f>IF('Project Tracker'!D489="","",IF(COUNTIF('Project Tracker'!$D$2:D489,'Project Tracker'!D489)=1,MAX($AB$1:AB448)+1,""))</f>
        <v/>
      </c>
    </row>
    <row r="450" spans="28:28" ht="15" customHeight="1">
      <c r="AB450" t="str">
        <f>IF('Project Tracker'!D490="","",IF(COUNTIF('Project Tracker'!$D$2:D490,'Project Tracker'!D490)=1,MAX($AB$1:AB449)+1,""))</f>
        <v/>
      </c>
    </row>
    <row r="451" spans="28:28" ht="15" customHeight="1">
      <c r="AB451" t="str">
        <f>IF('Project Tracker'!D491="","",IF(COUNTIF('Project Tracker'!$D$2:D491,'Project Tracker'!D491)=1,MAX($AB$1:AB450)+1,""))</f>
        <v/>
      </c>
    </row>
    <row r="452" spans="28:28" ht="15" customHeight="1">
      <c r="AB452" t="str">
        <f>IF('Project Tracker'!D492="","",IF(COUNTIF('Project Tracker'!$D$2:D492,'Project Tracker'!D492)=1,MAX($AB$1:AB451)+1,""))</f>
        <v/>
      </c>
    </row>
    <row r="453" spans="28:28" ht="15" customHeight="1">
      <c r="AB453" t="str">
        <f>IF('Project Tracker'!D493="","",IF(COUNTIF('Project Tracker'!$D$2:D493,'Project Tracker'!D493)=1,MAX($AB$1:AB452)+1,""))</f>
        <v/>
      </c>
    </row>
    <row r="454" spans="28:28" ht="15" customHeight="1">
      <c r="AB454" t="str">
        <f>IF('Project Tracker'!D494="","",IF(COUNTIF('Project Tracker'!$D$2:D494,'Project Tracker'!D494)=1,MAX($AB$1:AB453)+1,""))</f>
        <v/>
      </c>
    </row>
    <row r="455" spans="28:28" ht="15" customHeight="1">
      <c r="AB455" t="str">
        <f>IF('Project Tracker'!D495="","",IF(COUNTIF('Project Tracker'!$D$2:D495,'Project Tracker'!D495)=1,MAX($AB$1:AB454)+1,""))</f>
        <v/>
      </c>
    </row>
    <row r="456" spans="28:28" ht="15" customHeight="1">
      <c r="AB456" t="str">
        <f>IF('Project Tracker'!D496="","",IF(COUNTIF('Project Tracker'!$D$2:D496,'Project Tracker'!D496)=1,MAX($AB$1:AB455)+1,""))</f>
        <v/>
      </c>
    </row>
    <row r="457" spans="28:28" ht="15" customHeight="1">
      <c r="AB457" t="str">
        <f>IF('Project Tracker'!D497="","",IF(COUNTIF('Project Tracker'!$D$2:D497,'Project Tracker'!D497)=1,MAX($AB$1:AB456)+1,""))</f>
        <v/>
      </c>
    </row>
    <row r="458" spans="28:28" ht="15" customHeight="1">
      <c r="AB458" t="str">
        <f>IF('Project Tracker'!D498="","",IF(COUNTIF('Project Tracker'!$D$2:D498,'Project Tracker'!D498)=1,MAX($AB$1:AB457)+1,""))</f>
        <v/>
      </c>
    </row>
    <row r="459" spans="28:28" ht="15" customHeight="1">
      <c r="AB459" t="str">
        <f>IF('Project Tracker'!D499="","",IF(COUNTIF('Project Tracker'!$D$2:D499,'Project Tracker'!D499)=1,MAX($AB$1:AB458)+1,""))</f>
        <v/>
      </c>
    </row>
    <row r="460" spans="28:28" ht="15" customHeight="1">
      <c r="AB460" t="str">
        <f>IF('Project Tracker'!D500="","",IF(COUNTIF('Project Tracker'!$D$2:D500,'Project Tracker'!D500)=1,MAX($AB$1:AB459)+1,""))</f>
        <v/>
      </c>
    </row>
    <row r="461" spans="28:28" ht="15" customHeight="1">
      <c r="AB461" t="str">
        <f>IF('Project Tracker'!D501="","",IF(COUNTIF('Project Tracker'!$D$2:D501,'Project Tracker'!D501)=1,MAX($AB$1:AB460)+1,""))</f>
        <v/>
      </c>
    </row>
    <row r="462" spans="28:28" ht="15" customHeight="1">
      <c r="AB462" t="str">
        <f>IF('Project Tracker'!D502="","",IF(COUNTIF('Project Tracker'!$D$2:D502,'Project Tracker'!D502)=1,MAX($AB$1:AB461)+1,""))</f>
        <v/>
      </c>
    </row>
    <row r="463" spans="28:28" ht="15" customHeight="1">
      <c r="AB463" t="str">
        <f>IF('Project Tracker'!D503="","",IF(COUNTIF('Project Tracker'!$D$2:D503,'Project Tracker'!D503)=1,MAX($AB$1:AB462)+1,""))</f>
        <v/>
      </c>
    </row>
    <row r="464" spans="28:28" ht="15" customHeight="1">
      <c r="AB464" t="str">
        <f>IF('Project Tracker'!D504="","",IF(COUNTIF('Project Tracker'!$D$2:D504,'Project Tracker'!D504)=1,MAX($AB$1:AB463)+1,""))</f>
        <v/>
      </c>
    </row>
    <row r="465" spans="28:28" ht="15" customHeight="1">
      <c r="AB465" t="str">
        <f>IF('Project Tracker'!D505="","",IF(COUNTIF('Project Tracker'!$D$2:D505,'Project Tracker'!D505)=1,MAX($AB$1:AB464)+1,""))</f>
        <v/>
      </c>
    </row>
    <row r="466" spans="28:28" ht="15" customHeight="1">
      <c r="AB466" t="str">
        <f>IF('Project Tracker'!D506="","",IF(COUNTIF('Project Tracker'!$D$2:D506,'Project Tracker'!D506)=1,MAX($AB$1:AB465)+1,""))</f>
        <v/>
      </c>
    </row>
    <row r="467" spans="28:28" ht="15" customHeight="1">
      <c r="AB467" t="str">
        <f>IF('Project Tracker'!D507="","",IF(COUNTIF('Project Tracker'!$D$2:D507,'Project Tracker'!D507)=1,MAX($AB$1:AB466)+1,""))</f>
        <v/>
      </c>
    </row>
    <row r="468" spans="28:28" ht="15" customHeight="1">
      <c r="AB468" t="str">
        <f>IF('Project Tracker'!D508="","",IF(COUNTIF('Project Tracker'!$D$2:D508,'Project Tracker'!D508)=1,MAX($AB$1:AB467)+1,""))</f>
        <v/>
      </c>
    </row>
    <row r="469" spans="28:28" ht="15" customHeight="1">
      <c r="AB469" t="str">
        <f>IF('Project Tracker'!D509="","",IF(COUNTIF('Project Tracker'!$D$2:D509,'Project Tracker'!D509)=1,MAX($AB$1:AB468)+1,""))</f>
        <v/>
      </c>
    </row>
    <row r="470" spans="28:28" ht="15" customHeight="1">
      <c r="AB470" t="str">
        <f>IF('Project Tracker'!D510="","",IF(COUNTIF('Project Tracker'!$D$2:D510,'Project Tracker'!D510)=1,MAX($AB$1:AB469)+1,""))</f>
        <v/>
      </c>
    </row>
    <row r="471" spans="28:28" ht="15" customHeight="1">
      <c r="AB471" t="str">
        <f>IF('Project Tracker'!D511="","",IF(COUNTIF('Project Tracker'!$D$2:D511,'Project Tracker'!D511)=1,MAX($AB$1:AB470)+1,""))</f>
        <v/>
      </c>
    </row>
    <row r="472" spans="28:28" ht="15" customHeight="1">
      <c r="AB472" t="str">
        <f>IF('Project Tracker'!D512="","",IF(COUNTIF('Project Tracker'!$D$2:D512,'Project Tracker'!D512)=1,MAX($AB$1:AB471)+1,""))</f>
        <v/>
      </c>
    </row>
    <row r="473" spans="28:28" ht="15" customHeight="1">
      <c r="AB473" t="str">
        <f>IF('Project Tracker'!D513="","",IF(COUNTIF('Project Tracker'!$D$2:D513,'Project Tracker'!D513)=1,MAX($AB$1:AB472)+1,""))</f>
        <v/>
      </c>
    </row>
    <row r="474" spans="28:28" ht="15" customHeight="1">
      <c r="AB474" t="str">
        <f>IF('Project Tracker'!D514="","",IF(COUNTIF('Project Tracker'!$D$2:D514,'Project Tracker'!D514)=1,MAX($AB$1:AB473)+1,""))</f>
        <v/>
      </c>
    </row>
    <row r="475" spans="28:28" ht="15" customHeight="1">
      <c r="AB475" t="str">
        <f>IF('Project Tracker'!D515="","",IF(COUNTIF('Project Tracker'!$D$2:D515,'Project Tracker'!D515)=1,MAX($AB$1:AB474)+1,""))</f>
        <v/>
      </c>
    </row>
    <row r="476" spans="28:28" ht="15" customHeight="1">
      <c r="AB476" t="str">
        <f>IF('Project Tracker'!D516="","",IF(COUNTIF('Project Tracker'!$D$2:D516,'Project Tracker'!D516)=1,MAX($AB$1:AB475)+1,""))</f>
        <v/>
      </c>
    </row>
    <row r="477" spans="28:28" ht="15" customHeight="1">
      <c r="AB477" t="str">
        <f>IF('Project Tracker'!D517="","",IF(COUNTIF('Project Tracker'!$D$2:D517,'Project Tracker'!D517)=1,MAX($AB$1:AB476)+1,""))</f>
        <v/>
      </c>
    </row>
    <row r="478" spans="28:28" ht="15" customHeight="1">
      <c r="AB478" t="str">
        <f>IF('Project Tracker'!D518="","",IF(COUNTIF('Project Tracker'!$D$2:D518,'Project Tracker'!D518)=1,MAX($AB$1:AB477)+1,""))</f>
        <v/>
      </c>
    </row>
    <row r="479" spans="28:28" ht="15" customHeight="1">
      <c r="AB479" t="str">
        <f>IF('Project Tracker'!D519="","",IF(COUNTIF('Project Tracker'!$D$2:D519,'Project Tracker'!D519)=1,MAX($AB$1:AB478)+1,""))</f>
        <v/>
      </c>
    </row>
    <row r="480" spans="28:28" ht="15" customHeight="1">
      <c r="AB480" t="str">
        <f>IF('Project Tracker'!D520="","",IF(COUNTIF('Project Tracker'!$D$2:D520,'Project Tracker'!D520)=1,MAX($AB$1:AB479)+1,""))</f>
        <v/>
      </c>
    </row>
    <row r="481" spans="28:28" ht="15" customHeight="1">
      <c r="AB481" t="str">
        <f>IF('Project Tracker'!D521="","",IF(COUNTIF('Project Tracker'!$D$2:D521,'Project Tracker'!D521)=1,MAX($AB$1:AB480)+1,""))</f>
        <v/>
      </c>
    </row>
    <row r="482" spans="28:28" ht="15" customHeight="1">
      <c r="AB482" t="str">
        <f>IF('Project Tracker'!D522="","",IF(COUNTIF('Project Tracker'!$D$2:D522,'Project Tracker'!D522)=1,MAX($AB$1:AB481)+1,""))</f>
        <v/>
      </c>
    </row>
    <row r="483" spans="28:28" ht="15" customHeight="1">
      <c r="AB483" t="str">
        <f>IF('Project Tracker'!D523="","",IF(COUNTIF('Project Tracker'!$D$2:D523,'Project Tracker'!D523)=1,MAX($AB$1:AB482)+1,""))</f>
        <v/>
      </c>
    </row>
    <row r="484" spans="28:28" ht="15" customHeight="1">
      <c r="AB484" t="str">
        <f>IF('Project Tracker'!D524="","",IF(COUNTIF('Project Tracker'!$D$2:D524,'Project Tracker'!D524)=1,MAX($AB$1:AB483)+1,""))</f>
        <v/>
      </c>
    </row>
    <row r="485" spans="28:28" ht="15" customHeight="1">
      <c r="AB485" t="str">
        <f>IF('Project Tracker'!D525="","",IF(COUNTIF('Project Tracker'!$D$2:D525,'Project Tracker'!D525)=1,MAX($AB$1:AB484)+1,""))</f>
        <v/>
      </c>
    </row>
    <row r="486" spans="28:28" ht="15" customHeight="1">
      <c r="AB486" t="str">
        <f>IF('Project Tracker'!D526="","",IF(COUNTIF('Project Tracker'!$D$2:D526,'Project Tracker'!D526)=1,MAX($AB$1:AB485)+1,""))</f>
        <v/>
      </c>
    </row>
    <row r="487" spans="28:28" ht="15" customHeight="1">
      <c r="AB487" t="str">
        <f>IF('Project Tracker'!D527="","",IF(COUNTIF('Project Tracker'!$D$2:D527,'Project Tracker'!D527)=1,MAX($AB$1:AB486)+1,""))</f>
        <v/>
      </c>
    </row>
    <row r="488" spans="28:28" ht="15" customHeight="1">
      <c r="AB488" t="str">
        <f>IF('Project Tracker'!D528="","",IF(COUNTIF('Project Tracker'!$D$2:D528,'Project Tracker'!D528)=1,MAX($AB$1:AB487)+1,""))</f>
        <v/>
      </c>
    </row>
    <row r="489" spans="28:28" ht="15" customHeight="1">
      <c r="AB489" t="str">
        <f>IF('Project Tracker'!D529="","",IF(COUNTIF('Project Tracker'!$D$2:D529,'Project Tracker'!D529)=1,MAX($AB$1:AB488)+1,""))</f>
        <v/>
      </c>
    </row>
    <row r="490" spans="28:28" ht="15" customHeight="1">
      <c r="AB490" t="str">
        <f>IF('Project Tracker'!D530="","",IF(COUNTIF('Project Tracker'!$D$2:D530,'Project Tracker'!D530)=1,MAX($AB$1:AB489)+1,""))</f>
        <v/>
      </c>
    </row>
    <row r="491" spans="28:28" ht="15" customHeight="1">
      <c r="AB491" t="str">
        <f>IF('Project Tracker'!D531="","",IF(COUNTIF('Project Tracker'!$D$2:D531,'Project Tracker'!D531)=1,MAX($AB$1:AB490)+1,""))</f>
        <v/>
      </c>
    </row>
    <row r="492" spans="28:28" ht="15" customHeight="1">
      <c r="AB492" t="str">
        <f>IF('Project Tracker'!D532="","",IF(COUNTIF('Project Tracker'!$D$2:D532,'Project Tracker'!D532)=1,MAX($AB$1:AB491)+1,""))</f>
        <v/>
      </c>
    </row>
    <row r="493" spans="28:28" ht="15" customHeight="1">
      <c r="AB493" t="str">
        <f>IF('Project Tracker'!D533="","",IF(COUNTIF('Project Tracker'!$D$2:D533,'Project Tracker'!D533)=1,MAX($AB$1:AB492)+1,""))</f>
        <v/>
      </c>
    </row>
    <row r="494" spans="28:28" ht="15" customHeight="1">
      <c r="AB494" t="str">
        <f>IF('Project Tracker'!D534="","",IF(COUNTIF('Project Tracker'!$D$2:D534,'Project Tracker'!D534)=1,MAX($AB$1:AB493)+1,""))</f>
        <v/>
      </c>
    </row>
    <row r="495" spans="28:28" ht="15" customHeight="1">
      <c r="AB495" t="str">
        <f>IF('Project Tracker'!D535="","",IF(COUNTIF('Project Tracker'!$D$2:D535,'Project Tracker'!D535)=1,MAX($AB$1:AB494)+1,""))</f>
        <v/>
      </c>
    </row>
    <row r="496" spans="28:28" ht="15" customHeight="1">
      <c r="AB496" t="str">
        <f>IF('Project Tracker'!D536="","",IF(COUNTIF('Project Tracker'!$D$2:D536,'Project Tracker'!D536)=1,MAX($AB$1:AB495)+1,""))</f>
        <v/>
      </c>
    </row>
    <row r="497" spans="28:28" ht="15" customHeight="1">
      <c r="AB497" t="str">
        <f>IF('Project Tracker'!D537="","",IF(COUNTIF('Project Tracker'!$D$2:D537,'Project Tracker'!D537)=1,MAX($AB$1:AB496)+1,""))</f>
        <v/>
      </c>
    </row>
    <row r="498" spans="28:28" ht="15" customHeight="1">
      <c r="AB498" t="str">
        <f>IF('Project Tracker'!D538="","",IF(COUNTIF('Project Tracker'!$D$2:D538,'Project Tracker'!D538)=1,MAX($AB$1:AB497)+1,""))</f>
        <v/>
      </c>
    </row>
    <row r="499" spans="28:28" ht="15" customHeight="1">
      <c r="AB499" t="str">
        <f>IF('Project Tracker'!D539="","",IF(COUNTIF('Project Tracker'!$D$2:D539,'Project Tracker'!D539)=1,MAX($AB$1:AB498)+1,""))</f>
        <v/>
      </c>
    </row>
    <row r="500" spans="28:28" ht="15" customHeight="1">
      <c r="AB500" t="str">
        <f>IF('Project Tracker'!D540="","",IF(COUNTIF('Project Tracker'!$D$2:D540,'Project Tracker'!D540)=1,MAX($AB$1:AB499)+1,""))</f>
        <v/>
      </c>
    </row>
    <row r="501" spans="28:28" ht="15" customHeight="1">
      <c r="AB501" t="str">
        <f>IF('Project Tracker'!D541="","",IF(COUNTIF('Project Tracker'!$D$2:D541,'Project Tracker'!D541)=1,MAX($AB$1:AB500)+1,""))</f>
        <v/>
      </c>
    </row>
    <row r="502" spans="28:28" ht="15" customHeight="1">
      <c r="AB502" t="str">
        <f>IF('Project Tracker'!D542="","",IF(COUNTIF('Project Tracker'!$D$2:D542,'Project Tracker'!D542)=1,MAX($AB$1:AB501)+1,""))</f>
        <v/>
      </c>
    </row>
    <row r="503" spans="28:28" ht="15" customHeight="1">
      <c r="AB503" t="str">
        <f>IF('Project Tracker'!D543="","",IF(COUNTIF('Project Tracker'!$D$2:D543,'Project Tracker'!D543)=1,MAX($AB$1:AB502)+1,""))</f>
        <v/>
      </c>
    </row>
    <row r="504" spans="28:28" ht="15" customHeight="1">
      <c r="AB504" t="str">
        <f>IF('Project Tracker'!D544="","",IF(COUNTIF('Project Tracker'!$D$2:D544,'Project Tracker'!D544)=1,MAX($AB$1:AB503)+1,""))</f>
        <v/>
      </c>
    </row>
    <row r="505" spans="28:28" ht="15" customHeight="1">
      <c r="AB505" t="str">
        <f>IF('Project Tracker'!D545="","",IF(COUNTIF('Project Tracker'!$D$2:D545,'Project Tracker'!D545)=1,MAX($AB$1:AB504)+1,""))</f>
        <v/>
      </c>
    </row>
    <row r="506" spans="28:28" ht="15" customHeight="1">
      <c r="AB506" t="str">
        <f>IF('Project Tracker'!D546="","",IF(COUNTIF('Project Tracker'!$D$2:D546,'Project Tracker'!D546)=1,MAX($AB$1:AB505)+1,""))</f>
        <v/>
      </c>
    </row>
    <row r="507" spans="28:28" ht="15" customHeight="1">
      <c r="AB507" t="str">
        <f>IF('Project Tracker'!D547="","",IF(COUNTIF('Project Tracker'!$D$2:D547,'Project Tracker'!D547)=1,MAX($AB$1:AB506)+1,""))</f>
        <v/>
      </c>
    </row>
    <row r="508" spans="28:28" ht="15" customHeight="1">
      <c r="AB508" t="str">
        <f>IF('Project Tracker'!D548="","",IF(COUNTIF('Project Tracker'!$D$2:D548,'Project Tracker'!D548)=1,MAX($AB$1:AB507)+1,""))</f>
        <v/>
      </c>
    </row>
    <row r="509" spans="28:28" ht="15" customHeight="1">
      <c r="AB509" t="str">
        <f>IF('Project Tracker'!D549="","",IF(COUNTIF('Project Tracker'!$D$2:D549,'Project Tracker'!D549)=1,MAX($AB$1:AB508)+1,""))</f>
        <v/>
      </c>
    </row>
    <row r="510" spans="28:28" ht="15" customHeight="1">
      <c r="AB510" t="str">
        <f>IF('Project Tracker'!D550="","",IF(COUNTIF('Project Tracker'!$D$2:D550,'Project Tracker'!D550)=1,MAX($AB$1:AB509)+1,""))</f>
        <v/>
      </c>
    </row>
    <row r="511" spans="28:28" ht="15" customHeight="1">
      <c r="AB511" t="str">
        <f>IF('Project Tracker'!D551="","",IF(COUNTIF('Project Tracker'!$D$2:D551,'Project Tracker'!D551)=1,MAX($AB$1:AB510)+1,""))</f>
        <v/>
      </c>
    </row>
    <row r="512" spans="28:28" ht="15" customHeight="1">
      <c r="AB512" t="str">
        <f>IF('Project Tracker'!D552="","",IF(COUNTIF('Project Tracker'!$D$2:D552,'Project Tracker'!D552)=1,MAX($AB$1:AB511)+1,""))</f>
        <v/>
      </c>
    </row>
    <row r="513" spans="28:28" ht="15" customHeight="1">
      <c r="AB513" t="str">
        <f>IF('Project Tracker'!D553="","",IF(COUNTIF('Project Tracker'!$D$2:D553,'Project Tracker'!D553)=1,MAX($AB$1:AB512)+1,""))</f>
        <v/>
      </c>
    </row>
    <row r="514" spans="28:28" ht="15" customHeight="1">
      <c r="AB514" t="str">
        <f>IF('Project Tracker'!D554="","",IF(COUNTIF('Project Tracker'!$D$2:D554,'Project Tracker'!D554)=1,MAX($AB$1:AB513)+1,""))</f>
        <v/>
      </c>
    </row>
    <row r="515" spans="28:28" ht="15" customHeight="1">
      <c r="AB515" t="str">
        <f>IF('Project Tracker'!D555="","",IF(COUNTIF('Project Tracker'!$D$2:D555,'Project Tracker'!D555)=1,MAX($AB$1:AB514)+1,""))</f>
        <v/>
      </c>
    </row>
    <row r="516" spans="28:28" ht="15" customHeight="1">
      <c r="AB516" t="str">
        <f>IF('Project Tracker'!D556="","",IF(COUNTIF('Project Tracker'!$D$2:D556,'Project Tracker'!D556)=1,MAX($AB$1:AB515)+1,""))</f>
        <v/>
      </c>
    </row>
    <row r="517" spans="28:28" ht="15" customHeight="1">
      <c r="AB517" t="str">
        <f>IF('Project Tracker'!D557="","",IF(COUNTIF('Project Tracker'!$D$2:D557,'Project Tracker'!D557)=1,MAX($AB$1:AB516)+1,""))</f>
        <v/>
      </c>
    </row>
    <row r="518" spans="28:28" ht="15" customHeight="1">
      <c r="AB518" t="str">
        <f>IF('Project Tracker'!D558="","",IF(COUNTIF('Project Tracker'!$D$2:D558,'Project Tracker'!D558)=1,MAX($AB$1:AB517)+1,""))</f>
        <v/>
      </c>
    </row>
    <row r="519" spans="28:28" ht="15" customHeight="1">
      <c r="AB519" t="str">
        <f>IF('Project Tracker'!D559="","",IF(COUNTIF('Project Tracker'!$D$2:D559,'Project Tracker'!D559)=1,MAX($AB$1:AB518)+1,""))</f>
        <v/>
      </c>
    </row>
    <row r="520" spans="28:28" ht="15" customHeight="1">
      <c r="AB520" t="str">
        <f>IF('Project Tracker'!D560="","",IF(COUNTIF('Project Tracker'!$D$2:D560,'Project Tracker'!D560)=1,MAX($AB$1:AB519)+1,""))</f>
        <v/>
      </c>
    </row>
    <row r="521" spans="28:28" ht="15" customHeight="1">
      <c r="AB521" t="str">
        <f>IF('Project Tracker'!D561="","",IF(COUNTIF('Project Tracker'!$D$2:D561,'Project Tracker'!D561)=1,MAX($AB$1:AB520)+1,""))</f>
        <v/>
      </c>
    </row>
    <row r="522" spans="28:28" ht="15" customHeight="1">
      <c r="AB522" t="str">
        <f>IF('Project Tracker'!D562="","",IF(COUNTIF('Project Tracker'!$D$2:D562,'Project Tracker'!D562)=1,MAX($AB$1:AB521)+1,""))</f>
        <v/>
      </c>
    </row>
    <row r="523" spans="28:28" ht="15" customHeight="1">
      <c r="AB523" t="str">
        <f>IF('Project Tracker'!D563="","",IF(COUNTIF('Project Tracker'!$D$2:D563,'Project Tracker'!D563)=1,MAX($AB$1:AB522)+1,""))</f>
        <v/>
      </c>
    </row>
    <row r="524" spans="28:28" ht="15" customHeight="1">
      <c r="AB524" t="str">
        <f>IF('Project Tracker'!D564="","",IF(COUNTIF('Project Tracker'!$D$2:D564,'Project Tracker'!D564)=1,MAX($AB$1:AB523)+1,""))</f>
        <v/>
      </c>
    </row>
    <row r="525" spans="28:28" ht="15" customHeight="1">
      <c r="AB525" t="str">
        <f>IF('Project Tracker'!D565="","",IF(COUNTIF('Project Tracker'!$D$2:D565,'Project Tracker'!D565)=1,MAX($AB$1:AB524)+1,""))</f>
        <v/>
      </c>
    </row>
    <row r="526" spans="28:28" ht="15" customHeight="1">
      <c r="AB526" t="str">
        <f>IF('Project Tracker'!D566="","",IF(COUNTIF('Project Tracker'!$D$2:D566,'Project Tracker'!D566)=1,MAX($AB$1:AB525)+1,""))</f>
        <v/>
      </c>
    </row>
    <row r="527" spans="28:28" ht="15" customHeight="1">
      <c r="AB527" t="str">
        <f>IF('Project Tracker'!D567="","",IF(COUNTIF('Project Tracker'!$D$2:D567,'Project Tracker'!D567)=1,MAX($AB$1:AB526)+1,""))</f>
        <v/>
      </c>
    </row>
    <row r="528" spans="28:28" ht="15" customHeight="1">
      <c r="AB528" t="str">
        <f>IF('Project Tracker'!D568="","",IF(COUNTIF('Project Tracker'!$D$2:D568,'Project Tracker'!D568)=1,MAX($AB$1:AB527)+1,""))</f>
        <v/>
      </c>
    </row>
    <row r="529" spans="28:28" ht="15" customHeight="1">
      <c r="AB529" t="str">
        <f>IF('Project Tracker'!D569="","",IF(COUNTIF('Project Tracker'!$D$2:D569,'Project Tracker'!D569)=1,MAX($AB$1:AB528)+1,""))</f>
        <v/>
      </c>
    </row>
    <row r="530" spans="28:28" ht="15" customHeight="1">
      <c r="AB530" t="str">
        <f>IF('Project Tracker'!D570="","",IF(COUNTIF('Project Tracker'!$D$2:D570,'Project Tracker'!D570)=1,MAX($AB$1:AB529)+1,""))</f>
        <v/>
      </c>
    </row>
    <row r="531" spans="28:28" ht="15" customHeight="1">
      <c r="AB531" t="str">
        <f>IF('Project Tracker'!D571="","",IF(COUNTIF('Project Tracker'!$D$2:D571,'Project Tracker'!D571)=1,MAX($AB$1:AB530)+1,""))</f>
        <v/>
      </c>
    </row>
    <row r="532" spans="28:28" ht="15" customHeight="1">
      <c r="AB532" t="str">
        <f>IF('Project Tracker'!D572="","",IF(COUNTIF('Project Tracker'!$D$2:D572,'Project Tracker'!D572)=1,MAX($AB$1:AB531)+1,""))</f>
        <v/>
      </c>
    </row>
    <row r="533" spans="28:28" ht="15" customHeight="1">
      <c r="AB533" t="str">
        <f>IF('Project Tracker'!D573="","",IF(COUNTIF('Project Tracker'!$D$2:D573,'Project Tracker'!D573)=1,MAX($AB$1:AB532)+1,""))</f>
        <v/>
      </c>
    </row>
    <row r="534" spans="28:28" ht="15" customHeight="1">
      <c r="AB534" t="str">
        <f>IF('Project Tracker'!D574="","",IF(COUNTIF('Project Tracker'!$D$2:D574,'Project Tracker'!D574)=1,MAX($AB$1:AB533)+1,""))</f>
        <v/>
      </c>
    </row>
    <row r="535" spans="28:28" ht="15" customHeight="1">
      <c r="AB535" t="str">
        <f>IF('Project Tracker'!D575="","",IF(COUNTIF('Project Tracker'!$D$2:D575,'Project Tracker'!D575)=1,MAX($AB$1:AB534)+1,""))</f>
        <v/>
      </c>
    </row>
    <row r="536" spans="28:28" ht="15" customHeight="1">
      <c r="AB536" t="str">
        <f>IF('Project Tracker'!D576="","",IF(COUNTIF('Project Tracker'!$D$2:D576,'Project Tracker'!D576)=1,MAX($AB$1:AB535)+1,""))</f>
        <v/>
      </c>
    </row>
    <row r="537" spans="28:28" ht="15" customHeight="1">
      <c r="AB537" t="str">
        <f>IF('Project Tracker'!D577="","",IF(COUNTIF('Project Tracker'!$D$2:D577,'Project Tracker'!D577)=1,MAX($AB$1:AB536)+1,""))</f>
        <v/>
      </c>
    </row>
    <row r="538" spans="28:28" ht="15" customHeight="1">
      <c r="AB538" t="str">
        <f>IF('Project Tracker'!D578="","",IF(COUNTIF('Project Tracker'!$D$2:D578,'Project Tracker'!D578)=1,MAX($AB$1:AB537)+1,""))</f>
        <v/>
      </c>
    </row>
    <row r="539" spans="28:28" ht="15" customHeight="1">
      <c r="AB539" t="str">
        <f>IF('Project Tracker'!D579="","",IF(COUNTIF('Project Tracker'!$D$2:D579,'Project Tracker'!D579)=1,MAX($AB$1:AB538)+1,""))</f>
        <v/>
      </c>
    </row>
    <row r="540" spans="28:28" ht="15" customHeight="1">
      <c r="AB540" t="str">
        <f>IF('Project Tracker'!D580="","",IF(COUNTIF('Project Tracker'!$D$2:D580,'Project Tracker'!D580)=1,MAX($AB$1:AB539)+1,""))</f>
        <v/>
      </c>
    </row>
    <row r="541" spans="28:28" ht="15" customHeight="1">
      <c r="AB541" t="str">
        <f>IF('Project Tracker'!D581="","",IF(COUNTIF('Project Tracker'!$D$2:D581,'Project Tracker'!D581)=1,MAX($AB$1:AB540)+1,""))</f>
        <v/>
      </c>
    </row>
    <row r="542" spans="28:28" ht="15" customHeight="1">
      <c r="AB542" t="str">
        <f>IF('Project Tracker'!D582="","",IF(COUNTIF('Project Tracker'!$D$2:D582,'Project Tracker'!D582)=1,MAX($AB$1:AB541)+1,""))</f>
        <v/>
      </c>
    </row>
    <row r="543" spans="28:28" ht="15" customHeight="1">
      <c r="AB543" t="str">
        <f>IF('Project Tracker'!D583="","",IF(COUNTIF('Project Tracker'!$D$2:D583,'Project Tracker'!D583)=1,MAX($AB$1:AB542)+1,""))</f>
        <v/>
      </c>
    </row>
    <row r="544" spans="28:28" ht="15" customHeight="1">
      <c r="AB544" t="str">
        <f>IF('Project Tracker'!D584="","",IF(COUNTIF('Project Tracker'!$D$2:D584,'Project Tracker'!D584)=1,MAX($AB$1:AB543)+1,""))</f>
        <v/>
      </c>
    </row>
    <row r="545" spans="28:28" ht="15" customHeight="1">
      <c r="AB545" t="str">
        <f>IF('Project Tracker'!D585="","",IF(COUNTIF('Project Tracker'!$D$2:D585,'Project Tracker'!D585)=1,MAX($AB$1:AB544)+1,""))</f>
        <v/>
      </c>
    </row>
    <row r="546" spans="28:28" ht="15" customHeight="1">
      <c r="AB546" t="str">
        <f>IF('Project Tracker'!D586="","",IF(COUNTIF('Project Tracker'!$D$2:D586,'Project Tracker'!D586)=1,MAX($AB$1:AB545)+1,""))</f>
        <v/>
      </c>
    </row>
    <row r="547" spans="28:28" ht="15" customHeight="1">
      <c r="AB547" t="str">
        <f>IF('Project Tracker'!D587="","",IF(COUNTIF('Project Tracker'!$D$2:D587,'Project Tracker'!D587)=1,MAX($AB$1:AB546)+1,""))</f>
        <v/>
      </c>
    </row>
    <row r="548" spans="28:28" ht="15" customHeight="1">
      <c r="AB548" t="str">
        <f>IF('Project Tracker'!D588="","",IF(COUNTIF('Project Tracker'!$D$2:D588,'Project Tracker'!D588)=1,MAX($AB$1:AB547)+1,""))</f>
        <v/>
      </c>
    </row>
    <row r="549" spans="28:28" ht="15" customHeight="1">
      <c r="AB549" t="str">
        <f>IF('Project Tracker'!D589="","",IF(COUNTIF('Project Tracker'!$D$2:D589,'Project Tracker'!D589)=1,MAX($AB$1:AB548)+1,""))</f>
        <v/>
      </c>
    </row>
    <row r="550" spans="28:28" ht="15" customHeight="1">
      <c r="AB550" t="str">
        <f>IF('Project Tracker'!D590="","",IF(COUNTIF('Project Tracker'!$D$2:D590,'Project Tracker'!D590)=1,MAX($AB$1:AB549)+1,""))</f>
        <v/>
      </c>
    </row>
    <row r="551" spans="28:28" ht="15" customHeight="1">
      <c r="AB551" t="str">
        <f>IF('Project Tracker'!D591="","",IF(COUNTIF('Project Tracker'!$D$2:D591,'Project Tracker'!D591)=1,MAX($AB$1:AB550)+1,""))</f>
        <v/>
      </c>
    </row>
    <row r="552" spans="28:28" ht="15" customHeight="1">
      <c r="AB552" t="str">
        <f>IF('Project Tracker'!D592="","",IF(COUNTIF('Project Tracker'!$D$2:D592,'Project Tracker'!D592)=1,MAX($AB$1:AB551)+1,""))</f>
        <v/>
      </c>
    </row>
    <row r="553" spans="28:28" ht="15" customHeight="1">
      <c r="AB553" t="str">
        <f>IF('Project Tracker'!D593="","",IF(COUNTIF('Project Tracker'!$D$2:D593,'Project Tracker'!D593)=1,MAX($AB$1:AB552)+1,""))</f>
        <v/>
      </c>
    </row>
    <row r="554" spans="28:28" ht="15" customHeight="1">
      <c r="AB554" t="str">
        <f>IF('Project Tracker'!D594="","",IF(COUNTIF('Project Tracker'!$D$2:D594,'Project Tracker'!D594)=1,MAX($AB$1:AB553)+1,""))</f>
        <v/>
      </c>
    </row>
    <row r="555" spans="28:28" ht="15" customHeight="1">
      <c r="AB555" t="str">
        <f>IF('Project Tracker'!D595="","",IF(COUNTIF('Project Tracker'!$D$2:D595,'Project Tracker'!D595)=1,MAX($AB$1:AB554)+1,""))</f>
        <v/>
      </c>
    </row>
    <row r="556" spans="28:28" ht="15" customHeight="1">
      <c r="AB556" t="str">
        <f>IF('Project Tracker'!D596="","",IF(COUNTIF('Project Tracker'!$D$2:D596,'Project Tracker'!D596)=1,MAX($AB$1:AB555)+1,""))</f>
        <v/>
      </c>
    </row>
    <row r="557" spans="28:28" ht="15" customHeight="1">
      <c r="AB557" t="str">
        <f>IF('Project Tracker'!D597="","",IF(COUNTIF('Project Tracker'!$D$2:D597,'Project Tracker'!D597)=1,MAX($AB$1:AB556)+1,""))</f>
        <v/>
      </c>
    </row>
    <row r="558" spans="28:28" ht="15" customHeight="1">
      <c r="AB558" t="str">
        <f>IF('Project Tracker'!D598="","",IF(COUNTIF('Project Tracker'!$D$2:D598,'Project Tracker'!D598)=1,MAX($AB$1:AB557)+1,""))</f>
        <v/>
      </c>
    </row>
    <row r="559" spans="28:28" ht="15" customHeight="1">
      <c r="AB559" t="str">
        <f>IF('Project Tracker'!D599="","",IF(COUNTIF('Project Tracker'!$D$2:D599,'Project Tracker'!D599)=1,MAX($AB$1:AB558)+1,""))</f>
        <v/>
      </c>
    </row>
    <row r="560" spans="28:28" ht="15" customHeight="1">
      <c r="AB560" t="str">
        <f>IF('Project Tracker'!D600="","",IF(COUNTIF('Project Tracker'!$D$2:D600,'Project Tracker'!D600)=1,MAX($AB$1:AB559)+1,""))</f>
        <v/>
      </c>
    </row>
    <row r="561" spans="28:28" ht="15" customHeight="1">
      <c r="AB561" t="str">
        <f>IF('Project Tracker'!D601="","",IF(COUNTIF('Project Tracker'!$D$2:D601,'Project Tracker'!D601)=1,MAX($AB$1:AB560)+1,""))</f>
        <v/>
      </c>
    </row>
    <row r="562" spans="28:28" ht="15" customHeight="1">
      <c r="AB562" t="str">
        <f>IF('Project Tracker'!D602="","",IF(COUNTIF('Project Tracker'!$D$2:D602,'Project Tracker'!D602)=1,MAX($AB$1:AB561)+1,""))</f>
        <v/>
      </c>
    </row>
    <row r="563" spans="28:28" ht="15" customHeight="1">
      <c r="AB563" t="str">
        <f>IF('Project Tracker'!D603="","",IF(COUNTIF('Project Tracker'!$D$2:D603,'Project Tracker'!D603)=1,MAX($AB$1:AB562)+1,""))</f>
        <v/>
      </c>
    </row>
    <row r="564" spans="28:28" ht="15" customHeight="1">
      <c r="AB564" t="str">
        <f>IF('Project Tracker'!D604="","",IF(COUNTIF('Project Tracker'!$D$2:D604,'Project Tracker'!D604)=1,MAX($AB$1:AB563)+1,""))</f>
        <v/>
      </c>
    </row>
    <row r="565" spans="28:28" ht="15" customHeight="1">
      <c r="AB565" t="str">
        <f>IF('Project Tracker'!D605="","",IF(COUNTIF('Project Tracker'!$D$2:D605,'Project Tracker'!D605)=1,MAX($AB$1:AB564)+1,""))</f>
        <v/>
      </c>
    </row>
    <row r="566" spans="28:28" ht="15" customHeight="1">
      <c r="AB566" t="str">
        <f>IF('Project Tracker'!D606="","",IF(COUNTIF('Project Tracker'!$D$2:D606,'Project Tracker'!D606)=1,MAX($AB$1:AB565)+1,""))</f>
        <v/>
      </c>
    </row>
    <row r="567" spans="28:28" ht="15" customHeight="1">
      <c r="AB567" t="str">
        <f>IF('Project Tracker'!D607="","",IF(COUNTIF('Project Tracker'!$D$2:D607,'Project Tracker'!D607)=1,MAX($AB$1:AB566)+1,""))</f>
        <v/>
      </c>
    </row>
    <row r="568" spans="28:28" ht="15" customHeight="1">
      <c r="AB568" t="str">
        <f>IF('Project Tracker'!D608="","",IF(COUNTIF('Project Tracker'!$D$2:D608,'Project Tracker'!D608)=1,MAX($AB$1:AB567)+1,""))</f>
        <v/>
      </c>
    </row>
    <row r="569" spans="28:28" ht="15" customHeight="1">
      <c r="AB569" t="str">
        <f>IF('Project Tracker'!D609="","",IF(COUNTIF('Project Tracker'!$D$2:D609,'Project Tracker'!D609)=1,MAX($AB$1:AB568)+1,""))</f>
        <v/>
      </c>
    </row>
    <row r="570" spans="28:28" ht="15" customHeight="1">
      <c r="AB570" t="str">
        <f>IF('Project Tracker'!D610="","",IF(COUNTIF('Project Tracker'!$D$2:D610,'Project Tracker'!D610)=1,MAX($AB$1:AB569)+1,""))</f>
        <v/>
      </c>
    </row>
    <row r="571" spans="28:28" ht="15" customHeight="1">
      <c r="AB571" t="str">
        <f>IF('Project Tracker'!D611="","",IF(COUNTIF('Project Tracker'!$D$2:D611,'Project Tracker'!D611)=1,MAX($AB$1:AB570)+1,""))</f>
        <v/>
      </c>
    </row>
    <row r="572" spans="28:28" ht="15" customHeight="1">
      <c r="AB572" t="str">
        <f>IF('Project Tracker'!D612="","",IF(COUNTIF('Project Tracker'!$D$2:D612,'Project Tracker'!D612)=1,MAX($AB$1:AB571)+1,""))</f>
        <v/>
      </c>
    </row>
    <row r="573" spans="28:28" ht="15" customHeight="1">
      <c r="AB573" t="str">
        <f>IF('Project Tracker'!D613="","",IF(COUNTIF('Project Tracker'!$D$2:D613,'Project Tracker'!D613)=1,MAX($AB$1:AB572)+1,""))</f>
        <v/>
      </c>
    </row>
    <row r="574" spans="28:28" ht="15" customHeight="1">
      <c r="AB574" t="str">
        <f>IF('Project Tracker'!D614="","",IF(COUNTIF('Project Tracker'!$D$2:D614,'Project Tracker'!D614)=1,MAX($AB$1:AB573)+1,""))</f>
        <v/>
      </c>
    </row>
    <row r="575" spans="28:28" ht="15" customHeight="1">
      <c r="AB575" t="str">
        <f>IF('Project Tracker'!D615="","",IF(COUNTIF('Project Tracker'!$D$2:D615,'Project Tracker'!D615)=1,MAX($AB$1:AB574)+1,""))</f>
        <v/>
      </c>
    </row>
    <row r="576" spans="28:28" ht="15" customHeight="1">
      <c r="AB576" t="str">
        <f>IF('Project Tracker'!D616="","",IF(COUNTIF('Project Tracker'!$D$2:D616,'Project Tracker'!D616)=1,MAX($AB$1:AB575)+1,""))</f>
        <v/>
      </c>
    </row>
    <row r="577" spans="28:28" ht="15" customHeight="1">
      <c r="AB577" t="str">
        <f>IF('Project Tracker'!D617="","",IF(COUNTIF('Project Tracker'!$D$2:D617,'Project Tracker'!D617)=1,MAX($AB$1:AB576)+1,""))</f>
        <v/>
      </c>
    </row>
    <row r="578" spans="28:28" ht="15" customHeight="1">
      <c r="AB578" t="str">
        <f>IF('Project Tracker'!D618="","",IF(COUNTIF('Project Tracker'!$D$2:D618,'Project Tracker'!D618)=1,MAX($AB$1:AB577)+1,""))</f>
        <v/>
      </c>
    </row>
    <row r="579" spans="28:28" ht="15" customHeight="1">
      <c r="AB579" t="str">
        <f>IF('Project Tracker'!D619="","",IF(COUNTIF('Project Tracker'!$D$2:D619,'Project Tracker'!D619)=1,MAX($AB$1:AB578)+1,""))</f>
        <v/>
      </c>
    </row>
    <row r="580" spans="28:28" ht="15" customHeight="1">
      <c r="AB580" t="str">
        <f>IF('Project Tracker'!D620="","",IF(COUNTIF('Project Tracker'!$D$2:D620,'Project Tracker'!D620)=1,MAX($AB$1:AB579)+1,""))</f>
        <v/>
      </c>
    </row>
    <row r="581" spans="28:28" ht="15" customHeight="1">
      <c r="AB581" t="str">
        <f>IF('Project Tracker'!D621="","",IF(COUNTIF('Project Tracker'!$D$2:D621,'Project Tracker'!D621)=1,MAX($AB$1:AB580)+1,""))</f>
        <v/>
      </c>
    </row>
    <row r="582" spans="28:28" ht="15" customHeight="1">
      <c r="AB582" t="str">
        <f>IF('Project Tracker'!D622="","",IF(COUNTIF('Project Tracker'!$D$2:D622,'Project Tracker'!D622)=1,MAX($AB$1:AB581)+1,""))</f>
        <v/>
      </c>
    </row>
    <row r="583" spans="28:28" ht="15" customHeight="1">
      <c r="AB583" t="str">
        <f>IF('Project Tracker'!D623="","",IF(COUNTIF('Project Tracker'!$D$2:D623,'Project Tracker'!D623)=1,MAX($AB$1:AB582)+1,""))</f>
        <v/>
      </c>
    </row>
    <row r="584" spans="28:28" ht="15" customHeight="1">
      <c r="AB584" t="str">
        <f>IF('Project Tracker'!D624="","",IF(COUNTIF('Project Tracker'!$D$2:D624,'Project Tracker'!D624)=1,MAX($AB$1:AB583)+1,""))</f>
        <v/>
      </c>
    </row>
    <row r="585" spans="28:28" ht="15" customHeight="1">
      <c r="AB585" t="str">
        <f>IF('Project Tracker'!D625="","",IF(COUNTIF('Project Tracker'!$D$2:D625,'Project Tracker'!D625)=1,MAX($AB$1:AB584)+1,""))</f>
        <v/>
      </c>
    </row>
    <row r="586" spans="28:28" ht="15" customHeight="1">
      <c r="AB586" t="str">
        <f>IF('Project Tracker'!D626="","",IF(COUNTIF('Project Tracker'!$D$2:D626,'Project Tracker'!D626)=1,MAX($AB$1:AB585)+1,""))</f>
        <v/>
      </c>
    </row>
    <row r="587" spans="28:28" ht="15" customHeight="1">
      <c r="AB587" t="str">
        <f>IF('Project Tracker'!D627="","",IF(COUNTIF('Project Tracker'!$D$2:D627,'Project Tracker'!D627)=1,MAX($AB$1:AB586)+1,""))</f>
        <v/>
      </c>
    </row>
    <row r="588" spans="28:28" ht="15" customHeight="1">
      <c r="AB588" t="str">
        <f>IF('Project Tracker'!D628="","",IF(COUNTIF('Project Tracker'!$D$2:D628,'Project Tracker'!D628)=1,MAX($AB$1:AB587)+1,""))</f>
        <v/>
      </c>
    </row>
    <row r="589" spans="28:28" ht="15" customHeight="1">
      <c r="AB589" t="str">
        <f>IF('Project Tracker'!D629="","",IF(COUNTIF('Project Tracker'!$D$2:D629,'Project Tracker'!D629)=1,MAX($AB$1:AB588)+1,""))</f>
        <v/>
      </c>
    </row>
    <row r="590" spans="28:28" ht="15" customHeight="1">
      <c r="AB590" t="str">
        <f>IF('Project Tracker'!D630="","",IF(COUNTIF('Project Tracker'!$D$2:D630,'Project Tracker'!D630)=1,MAX($AB$1:AB589)+1,""))</f>
        <v/>
      </c>
    </row>
    <row r="591" spans="28:28" ht="15" customHeight="1">
      <c r="AB591" t="str">
        <f>IF('Project Tracker'!D631="","",IF(COUNTIF('Project Tracker'!$D$2:D631,'Project Tracker'!D631)=1,MAX($AB$1:AB590)+1,""))</f>
        <v/>
      </c>
    </row>
    <row r="592" spans="28:28" ht="15" customHeight="1">
      <c r="AB592" t="str">
        <f>IF('Project Tracker'!D632="","",IF(COUNTIF('Project Tracker'!$D$2:D632,'Project Tracker'!D632)=1,MAX($AB$1:AB591)+1,""))</f>
        <v/>
      </c>
    </row>
    <row r="593" spans="28:28" ht="15" customHeight="1">
      <c r="AB593" t="str">
        <f>IF('Project Tracker'!D633="","",IF(COUNTIF('Project Tracker'!$D$2:D633,'Project Tracker'!D633)=1,MAX($AB$1:AB592)+1,""))</f>
        <v/>
      </c>
    </row>
    <row r="594" spans="28:28" ht="15" customHeight="1">
      <c r="AB594" t="str">
        <f>IF('Project Tracker'!D634="","",IF(COUNTIF('Project Tracker'!$D$2:D634,'Project Tracker'!D634)=1,MAX($AB$1:AB593)+1,""))</f>
        <v/>
      </c>
    </row>
    <row r="595" spans="28:28" ht="15" customHeight="1">
      <c r="AB595" t="str">
        <f>IF('Project Tracker'!D635="","",IF(COUNTIF('Project Tracker'!$D$2:D635,'Project Tracker'!D635)=1,MAX($AB$1:AB594)+1,""))</f>
        <v/>
      </c>
    </row>
    <row r="596" spans="28:28" ht="15" customHeight="1">
      <c r="AB596" t="str">
        <f>IF('Project Tracker'!D636="","",IF(COUNTIF('Project Tracker'!$D$2:D636,'Project Tracker'!D636)=1,MAX($AB$1:AB595)+1,""))</f>
        <v/>
      </c>
    </row>
    <row r="597" spans="28:28" ht="15" customHeight="1">
      <c r="AB597" t="str">
        <f>IF('Project Tracker'!D637="","",IF(COUNTIF('Project Tracker'!$D$2:D637,'Project Tracker'!D637)=1,MAX($AB$1:AB596)+1,""))</f>
        <v/>
      </c>
    </row>
    <row r="598" spans="28:28" ht="15" customHeight="1">
      <c r="AB598" t="str">
        <f>IF('Project Tracker'!D638="","",IF(COUNTIF('Project Tracker'!$D$2:D638,'Project Tracker'!D638)=1,MAX($AB$1:AB597)+1,""))</f>
        <v/>
      </c>
    </row>
    <row r="599" spans="28:28" ht="15" customHeight="1">
      <c r="AB599" t="str">
        <f>IF('Project Tracker'!D639="","",IF(COUNTIF('Project Tracker'!$D$2:D639,'Project Tracker'!D639)=1,MAX($AB$1:AB598)+1,""))</f>
        <v/>
      </c>
    </row>
    <row r="600" spans="28:28" ht="15" customHeight="1">
      <c r="AB600" t="str">
        <f>IF('Project Tracker'!D640="","",IF(COUNTIF('Project Tracker'!$D$2:D640,'Project Tracker'!D640)=1,MAX($AB$1:AB599)+1,""))</f>
        <v/>
      </c>
    </row>
    <row r="601" spans="28:28" ht="15" customHeight="1">
      <c r="AB601" t="str">
        <f>IF('Project Tracker'!D641="","",IF(COUNTIF('Project Tracker'!$D$2:D641,'Project Tracker'!D641)=1,MAX($AB$1:AB600)+1,""))</f>
        <v/>
      </c>
    </row>
    <row r="602" spans="28:28" ht="15" customHeight="1">
      <c r="AB602" t="str">
        <f>IF('Project Tracker'!D642="","",IF(COUNTIF('Project Tracker'!$D$2:D642,'Project Tracker'!D642)=1,MAX($AB$1:AB601)+1,""))</f>
        <v/>
      </c>
    </row>
    <row r="603" spans="28:28" ht="15" customHeight="1">
      <c r="AB603" t="str">
        <f>IF('Project Tracker'!D643="","",IF(COUNTIF('Project Tracker'!$D$2:D643,'Project Tracker'!D643)=1,MAX($AB$1:AB602)+1,""))</f>
        <v/>
      </c>
    </row>
    <row r="604" spans="28:28" ht="15" customHeight="1">
      <c r="AB604" t="str">
        <f>IF('Project Tracker'!D644="","",IF(COUNTIF('Project Tracker'!$D$2:D644,'Project Tracker'!D644)=1,MAX($AB$1:AB603)+1,""))</f>
        <v/>
      </c>
    </row>
    <row r="605" spans="28:28" ht="15" customHeight="1">
      <c r="AB605" t="str">
        <f>IF('Project Tracker'!D645="","",IF(COUNTIF('Project Tracker'!$D$2:D645,'Project Tracker'!D645)=1,MAX($AB$1:AB604)+1,""))</f>
        <v/>
      </c>
    </row>
    <row r="606" spans="28:28" ht="15" customHeight="1">
      <c r="AB606" t="str">
        <f>IF('Project Tracker'!D646="","",IF(COUNTIF('Project Tracker'!$D$2:D646,'Project Tracker'!D646)=1,MAX($AB$1:AB605)+1,""))</f>
        <v/>
      </c>
    </row>
    <row r="607" spans="28:28" ht="15" customHeight="1">
      <c r="AB607" t="str">
        <f>IF('Project Tracker'!D647="","",IF(COUNTIF('Project Tracker'!$D$2:D647,'Project Tracker'!D647)=1,MAX($AB$1:AB606)+1,""))</f>
        <v/>
      </c>
    </row>
    <row r="608" spans="28:28" ht="15" customHeight="1">
      <c r="AB608" t="str">
        <f>IF('Project Tracker'!D648="","",IF(COUNTIF('Project Tracker'!$D$2:D648,'Project Tracker'!D648)=1,MAX($AB$1:AB607)+1,""))</f>
        <v/>
      </c>
    </row>
    <row r="609" spans="28:28" ht="15" customHeight="1">
      <c r="AB609" t="str">
        <f>IF('Project Tracker'!D649="","",IF(COUNTIF('Project Tracker'!$D$2:D649,'Project Tracker'!D649)=1,MAX($AB$1:AB608)+1,""))</f>
        <v/>
      </c>
    </row>
    <row r="610" spans="28:28" ht="15" customHeight="1">
      <c r="AB610" t="str">
        <f>IF('Project Tracker'!D650="","",IF(COUNTIF('Project Tracker'!$D$2:D650,'Project Tracker'!D650)=1,MAX($AB$1:AB609)+1,""))</f>
        <v/>
      </c>
    </row>
    <row r="611" spans="28:28" ht="15" customHeight="1">
      <c r="AB611" t="str">
        <f>IF('Project Tracker'!D651="","",IF(COUNTIF('Project Tracker'!$D$2:D651,'Project Tracker'!D651)=1,MAX($AB$1:AB610)+1,""))</f>
        <v/>
      </c>
    </row>
    <row r="612" spans="28:28" ht="15" customHeight="1">
      <c r="AB612" t="str">
        <f>IF('Project Tracker'!D652="","",IF(COUNTIF('Project Tracker'!$D$2:D652,'Project Tracker'!D652)=1,MAX($AB$1:AB611)+1,""))</f>
        <v/>
      </c>
    </row>
    <row r="613" spans="28:28" ht="15" customHeight="1">
      <c r="AB613" t="str">
        <f>IF('Project Tracker'!D653="","",IF(COUNTIF('Project Tracker'!$D$2:D653,'Project Tracker'!D653)=1,MAX($AB$1:AB612)+1,""))</f>
        <v/>
      </c>
    </row>
    <row r="614" spans="28:28" ht="15" customHeight="1">
      <c r="AB614" t="str">
        <f>IF('Project Tracker'!D654="","",IF(COUNTIF('Project Tracker'!$D$2:D654,'Project Tracker'!D654)=1,MAX($AB$1:AB613)+1,""))</f>
        <v/>
      </c>
    </row>
    <row r="615" spans="28:28" ht="15" customHeight="1">
      <c r="AB615" t="str">
        <f>IF('Project Tracker'!D655="","",IF(COUNTIF('Project Tracker'!$D$2:D655,'Project Tracker'!D655)=1,MAX($AB$1:AB614)+1,""))</f>
        <v/>
      </c>
    </row>
    <row r="616" spans="28:28" ht="15" customHeight="1">
      <c r="AB616" t="str">
        <f>IF('Project Tracker'!D656="","",IF(COUNTIF('Project Tracker'!$D$2:D656,'Project Tracker'!D656)=1,MAX($AB$1:AB615)+1,""))</f>
        <v/>
      </c>
    </row>
    <row r="617" spans="28:28" ht="15" customHeight="1">
      <c r="AB617" t="str">
        <f>IF('Project Tracker'!D657="","",IF(COUNTIF('Project Tracker'!$D$2:D657,'Project Tracker'!D657)=1,MAX($AB$1:AB616)+1,""))</f>
        <v/>
      </c>
    </row>
    <row r="618" spans="28:28" ht="15" customHeight="1">
      <c r="AB618" t="str">
        <f>IF('Project Tracker'!D658="","",IF(COUNTIF('Project Tracker'!$D$2:D658,'Project Tracker'!D658)=1,MAX($AB$1:AB617)+1,""))</f>
        <v/>
      </c>
    </row>
    <row r="619" spans="28:28" ht="15" customHeight="1">
      <c r="AB619" t="str">
        <f>IF('Project Tracker'!D659="","",IF(COUNTIF('Project Tracker'!$D$2:D659,'Project Tracker'!D659)=1,MAX($AB$1:AB618)+1,""))</f>
        <v/>
      </c>
    </row>
    <row r="620" spans="28:28" ht="15" customHeight="1">
      <c r="AB620" t="str">
        <f>IF('Project Tracker'!D660="","",IF(COUNTIF('Project Tracker'!$D$2:D660,'Project Tracker'!D660)=1,MAX($AB$1:AB619)+1,""))</f>
        <v/>
      </c>
    </row>
    <row r="621" spans="28:28" ht="15" customHeight="1">
      <c r="AB621" t="str">
        <f>IF('Project Tracker'!D661="","",IF(COUNTIF('Project Tracker'!$D$2:D661,'Project Tracker'!D661)=1,MAX($AB$1:AB620)+1,""))</f>
        <v/>
      </c>
    </row>
    <row r="622" spans="28:28" ht="15" customHeight="1">
      <c r="AB622" t="str">
        <f>IF('Project Tracker'!D662="","",IF(COUNTIF('Project Tracker'!$D$2:D662,'Project Tracker'!D662)=1,MAX($AB$1:AB621)+1,""))</f>
        <v/>
      </c>
    </row>
    <row r="623" spans="28:28" ht="15" customHeight="1">
      <c r="AB623" t="str">
        <f>IF('Project Tracker'!D663="","",IF(COUNTIF('Project Tracker'!$D$2:D663,'Project Tracker'!D663)=1,MAX($AB$1:AB622)+1,""))</f>
        <v/>
      </c>
    </row>
    <row r="624" spans="28:28" ht="15" customHeight="1">
      <c r="AB624" t="str">
        <f>IF('Project Tracker'!D664="","",IF(COUNTIF('Project Tracker'!$D$2:D664,'Project Tracker'!D664)=1,MAX($AB$1:AB623)+1,""))</f>
        <v/>
      </c>
    </row>
    <row r="625" spans="28:28" ht="15" customHeight="1">
      <c r="AB625" t="str">
        <f>IF('Project Tracker'!D665="","",IF(COUNTIF('Project Tracker'!$D$2:D665,'Project Tracker'!D665)=1,MAX($AB$1:AB624)+1,""))</f>
        <v/>
      </c>
    </row>
    <row r="626" spans="28:28" ht="15" customHeight="1">
      <c r="AB626" t="str">
        <f>IF('Project Tracker'!D666="","",IF(COUNTIF('Project Tracker'!$D$2:D666,'Project Tracker'!D666)=1,MAX($AB$1:AB625)+1,""))</f>
        <v/>
      </c>
    </row>
    <row r="627" spans="28:28" ht="15" customHeight="1">
      <c r="AB627" t="str">
        <f>IF('Project Tracker'!D667="","",IF(COUNTIF('Project Tracker'!$D$2:D667,'Project Tracker'!D667)=1,MAX($AB$1:AB626)+1,""))</f>
        <v/>
      </c>
    </row>
    <row r="628" spans="28:28" ht="15" customHeight="1">
      <c r="AB628" t="str">
        <f>IF('Project Tracker'!D668="","",IF(COUNTIF('Project Tracker'!$D$2:D668,'Project Tracker'!D668)=1,MAX($AB$1:AB627)+1,""))</f>
        <v/>
      </c>
    </row>
    <row r="629" spans="28:28" ht="15" customHeight="1">
      <c r="AB629" t="str">
        <f>IF('Project Tracker'!D669="","",IF(COUNTIF('Project Tracker'!$D$2:D669,'Project Tracker'!D669)=1,MAX($AB$1:AB628)+1,""))</f>
        <v/>
      </c>
    </row>
    <row r="630" spans="28:28" ht="15" customHeight="1">
      <c r="AB630" t="str">
        <f>IF('Project Tracker'!D670="","",IF(COUNTIF('Project Tracker'!$D$2:D670,'Project Tracker'!D670)=1,MAX($AB$1:AB629)+1,""))</f>
        <v/>
      </c>
    </row>
    <row r="631" spans="28:28" ht="15" customHeight="1">
      <c r="AB631" t="str">
        <f>IF('Project Tracker'!D671="","",IF(COUNTIF('Project Tracker'!$D$2:D671,'Project Tracker'!D671)=1,MAX($AB$1:AB630)+1,""))</f>
        <v/>
      </c>
    </row>
    <row r="632" spans="28:28" ht="15" customHeight="1">
      <c r="AB632" t="str">
        <f>IF('Project Tracker'!D672="","",IF(COUNTIF('Project Tracker'!$D$2:D672,'Project Tracker'!D672)=1,MAX($AB$1:AB631)+1,""))</f>
        <v/>
      </c>
    </row>
    <row r="633" spans="28:28" ht="15" customHeight="1">
      <c r="AB633" t="str">
        <f>IF('Project Tracker'!D673="","",IF(COUNTIF('Project Tracker'!$D$2:D673,'Project Tracker'!D673)=1,MAX($AB$1:AB632)+1,""))</f>
        <v/>
      </c>
    </row>
    <row r="634" spans="28:28" ht="15" customHeight="1">
      <c r="AB634" t="str">
        <f>IF('Project Tracker'!D674="","",IF(COUNTIF('Project Tracker'!$D$2:D674,'Project Tracker'!D674)=1,MAX($AB$1:AB633)+1,""))</f>
        <v/>
      </c>
    </row>
    <row r="635" spans="28:28" ht="15" customHeight="1">
      <c r="AB635" t="str">
        <f>IF('Project Tracker'!D675="","",IF(COUNTIF('Project Tracker'!$D$2:D675,'Project Tracker'!D675)=1,MAX($AB$1:AB634)+1,""))</f>
        <v/>
      </c>
    </row>
    <row r="636" spans="28:28" ht="15" customHeight="1">
      <c r="AB636" t="str">
        <f>IF('Project Tracker'!D676="","",IF(COUNTIF('Project Tracker'!$D$2:D676,'Project Tracker'!D676)=1,MAX($AB$1:AB635)+1,""))</f>
        <v/>
      </c>
    </row>
    <row r="637" spans="28:28" ht="15" customHeight="1">
      <c r="AB637" t="str">
        <f>IF('Project Tracker'!D677="","",IF(COUNTIF('Project Tracker'!$D$2:D677,'Project Tracker'!D677)=1,MAX($AB$1:AB636)+1,""))</f>
        <v/>
      </c>
    </row>
    <row r="638" spans="28:28" ht="15" customHeight="1">
      <c r="AB638" t="str">
        <f>IF('Project Tracker'!D678="","",IF(COUNTIF('Project Tracker'!$D$2:D678,'Project Tracker'!D678)=1,MAX($AB$1:AB637)+1,""))</f>
        <v/>
      </c>
    </row>
    <row r="639" spans="28:28" ht="15" customHeight="1">
      <c r="AB639" t="str">
        <f>IF('Project Tracker'!D679="","",IF(COUNTIF('Project Tracker'!$D$2:D679,'Project Tracker'!D679)=1,MAX($AB$1:AB638)+1,""))</f>
        <v/>
      </c>
    </row>
    <row r="640" spans="28:28" ht="15" customHeight="1">
      <c r="AB640" t="str">
        <f>IF('Project Tracker'!D680="","",IF(COUNTIF('Project Tracker'!$D$2:D680,'Project Tracker'!D680)=1,MAX($AB$1:AB639)+1,""))</f>
        <v/>
      </c>
    </row>
    <row r="641" spans="28:28" ht="15" customHeight="1">
      <c r="AB641" t="str">
        <f>IF('Project Tracker'!D681="","",IF(COUNTIF('Project Tracker'!$D$2:D681,'Project Tracker'!D681)=1,MAX($AB$1:AB640)+1,""))</f>
        <v/>
      </c>
    </row>
    <row r="642" spans="28:28" ht="15" customHeight="1">
      <c r="AB642" t="str">
        <f>IF('Project Tracker'!D682="","",IF(COUNTIF('Project Tracker'!$D$2:D682,'Project Tracker'!D682)=1,MAX($AB$1:AB641)+1,""))</f>
        <v/>
      </c>
    </row>
    <row r="643" spans="28:28" ht="15" customHeight="1">
      <c r="AB643" t="str">
        <f>IF('Project Tracker'!D683="","",IF(COUNTIF('Project Tracker'!$D$2:D683,'Project Tracker'!D683)=1,MAX($AB$1:AB642)+1,""))</f>
        <v/>
      </c>
    </row>
    <row r="644" spans="28:28" ht="15" customHeight="1">
      <c r="AB644" t="str">
        <f>IF('Project Tracker'!D684="","",IF(COUNTIF('Project Tracker'!$D$2:D684,'Project Tracker'!D684)=1,MAX($AB$1:AB643)+1,""))</f>
        <v/>
      </c>
    </row>
    <row r="645" spans="28:28" ht="15" customHeight="1">
      <c r="AB645" t="str">
        <f>IF('Project Tracker'!D685="","",IF(COUNTIF('Project Tracker'!$D$2:D685,'Project Tracker'!D685)=1,MAX($AB$1:AB644)+1,""))</f>
        <v/>
      </c>
    </row>
    <row r="646" spans="28:28" ht="15" customHeight="1">
      <c r="AB646" t="str">
        <f>IF('Project Tracker'!D686="","",IF(COUNTIF('Project Tracker'!$D$2:D686,'Project Tracker'!D686)=1,MAX($AB$1:AB645)+1,""))</f>
        <v/>
      </c>
    </row>
    <row r="647" spans="28:28" ht="15" customHeight="1">
      <c r="AB647" t="str">
        <f>IF('Project Tracker'!D687="","",IF(COUNTIF('Project Tracker'!$D$2:D687,'Project Tracker'!D687)=1,MAX($AB$1:AB646)+1,""))</f>
        <v/>
      </c>
    </row>
    <row r="648" spans="28:28" ht="15" customHeight="1">
      <c r="AB648" t="str">
        <f>IF('Project Tracker'!D688="","",IF(COUNTIF('Project Tracker'!$D$2:D688,'Project Tracker'!D688)=1,MAX($AB$1:AB647)+1,""))</f>
        <v/>
      </c>
    </row>
    <row r="649" spans="28:28" ht="15" customHeight="1">
      <c r="AB649" t="str">
        <f>IF('Project Tracker'!D689="","",IF(COUNTIF('Project Tracker'!$D$2:D689,'Project Tracker'!D689)=1,MAX($AB$1:AB648)+1,""))</f>
        <v/>
      </c>
    </row>
    <row r="650" spans="28:28" ht="15" customHeight="1">
      <c r="AB650" t="str">
        <f>IF('Project Tracker'!D690="","",IF(COUNTIF('Project Tracker'!$D$2:D690,'Project Tracker'!D690)=1,MAX($AB$1:AB649)+1,""))</f>
        <v/>
      </c>
    </row>
    <row r="651" spans="28:28" ht="15" customHeight="1">
      <c r="AB651" t="str">
        <f>IF('Project Tracker'!D691="","",IF(COUNTIF('Project Tracker'!$D$2:D691,'Project Tracker'!D691)=1,MAX($AB$1:AB650)+1,""))</f>
        <v/>
      </c>
    </row>
    <row r="652" spans="28:28" ht="15" customHeight="1">
      <c r="AB652" t="str">
        <f>IF('Project Tracker'!D692="","",IF(COUNTIF('Project Tracker'!$D$2:D692,'Project Tracker'!D692)=1,MAX($AB$1:AB651)+1,""))</f>
        <v/>
      </c>
    </row>
    <row r="653" spans="28:28" ht="15" customHeight="1">
      <c r="AB653" t="str">
        <f>IF('Project Tracker'!D693="","",IF(COUNTIF('Project Tracker'!$D$2:D693,'Project Tracker'!D693)=1,MAX($AB$1:AB652)+1,""))</f>
        <v/>
      </c>
    </row>
    <row r="654" spans="28:28" ht="15" customHeight="1">
      <c r="AB654" t="str">
        <f>IF('Project Tracker'!D694="","",IF(COUNTIF('Project Tracker'!$D$2:D694,'Project Tracker'!D694)=1,MAX($AB$1:AB653)+1,""))</f>
        <v/>
      </c>
    </row>
    <row r="655" spans="28:28" ht="15" customHeight="1">
      <c r="AB655" t="str">
        <f>IF('Project Tracker'!D695="","",IF(COUNTIF('Project Tracker'!$D$2:D695,'Project Tracker'!D695)=1,MAX($AB$1:AB654)+1,""))</f>
        <v/>
      </c>
    </row>
    <row r="656" spans="28:28" ht="15" customHeight="1">
      <c r="AB656" t="str">
        <f>IF('Project Tracker'!D696="","",IF(COUNTIF('Project Tracker'!$D$2:D696,'Project Tracker'!D696)=1,MAX($AB$1:AB655)+1,""))</f>
        <v/>
      </c>
    </row>
    <row r="657" spans="28:28" ht="15" customHeight="1">
      <c r="AB657" t="str">
        <f>IF('Project Tracker'!D697="","",IF(COUNTIF('Project Tracker'!$D$2:D697,'Project Tracker'!D697)=1,MAX($AB$1:AB656)+1,""))</f>
        <v/>
      </c>
    </row>
    <row r="658" spans="28:28" ht="15" customHeight="1">
      <c r="AB658" t="str">
        <f>IF('Project Tracker'!D698="","",IF(COUNTIF('Project Tracker'!$D$2:D698,'Project Tracker'!D698)=1,MAX($AB$1:AB657)+1,""))</f>
        <v/>
      </c>
    </row>
    <row r="659" spans="28:28" ht="15" customHeight="1">
      <c r="AB659" t="str">
        <f>IF('Project Tracker'!D699="","",IF(COUNTIF('Project Tracker'!$D$2:D699,'Project Tracker'!D699)=1,MAX($AB$1:AB658)+1,""))</f>
        <v/>
      </c>
    </row>
    <row r="660" spans="28:28" ht="15" customHeight="1">
      <c r="AB660" t="str">
        <f>IF('Project Tracker'!D700="","",IF(COUNTIF('Project Tracker'!$D$2:D700,'Project Tracker'!D700)=1,MAX($AB$1:AB659)+1,""))</f>
        <v/>
      </c>
    </row>
    <row r="661" spans="28:28" ht="15" customHeight="1">
      <c r="AB661" t="str">
        <f>IF('Project Tracker'!D701="","",IF(COUNTIF('Project Tracker'!$D$2:D701,'Project Tracker'!D701)=1,MAX($AB$1:AB660)+1,""))</f>
        <v/>
      </c>
    </row>
    <row r="662" spans="28:28" ht="15" customHeight="1">
      <c r="AB662" t="str">
        <f>IF('Project Tracker'!D702="","",IF(COUNTIF('Project Tracker'!$D$2:D702,'Project Tracker'!D702)=1,MAX($AB$1:AB661)+1,""))</f>
        <v/>
      </c>
    </row>
    <row r="663" spans="28:28" ht="15" customHeight="1">
      <c r="AB663" t="str">
        <f>IF('Project Tracker'!D703="","",IF(COUNTIF('Project Tracker'!$D$2:D703,'Project Tracker'!D703)=1,MAX($AB$1:AB662)+1,""))</f>
        <v/>
      </c>
    </row>
    <row r="664" spans="28:28" ht="15" customHeight="1">
      <c r="AB664" t="str">
        <f>IF('Project Tracker'!D704="","",IF(COUNTIF('Project Tracker'!$D$2:D704,'Project Tracker'!D704)=1,MAX($AB$1:AB663)+1,""))</f>
        <v/>
      </c>
    </row>
    <row r="665" spans="28:28" ht="15" customHeight="1">
      <c r="AB665" t="str">
        <f>IF('Project Tracker'!D705="","",IF(COUNTIF('Project Tracker'!$D$2:D705,'Project Tracker'!D705)=1,MAX($AB$1:AB664)+1,""))</f>
        <v/>
      </c>
    </row>
    <row r="666" spans="28:28" ht="15" customHeight="1">
      <c r="AB666" t="str">
        <f>IF('Project Tracker'!D706="","",IF(COUNTIF('Project Tracker'!$D$2:D706,'Project Tracker'!D706)=1,MAX($AB$1:AB665)+1,""))</f>
        <v/>
      </c>
    </row>
    <row r="667" spans="28:28" ht="15" customHeight="1">
      <c r="AB667" t="str">
        <f>IF('Project Tracker'!D707="","",IF(COUNTIF('Project Tracker'!$D$2:D707,'Project Tracker'!D707)=1,MAX($AB$1:AB666)+1,""))</f>
        <v/>
      </c>
    </row>
    <row r="668" spans="28:28" ht="15" customHeight="1">
      <c r="AB668" t="str">
        <f>IF('Project Tracker'!D708="","",IF(COUNTIF('Project Tracker'!$D$2:D708,'Project Tracker'!D708)=1,MAX($AB$1:AB667)+1,""))</f>
        <v/>
      </c>
    </row>
    <row r="669" spans="28:28" ht="15" customHeight="1">
      <c r="AB669" t="str">
        <f>IF('Project Tracker'!D709="","",IF(COUNTIF('Project Tracker'!$D$2:D709,'Project Tracker'!D709)=1,MAX($AB$1:AB668)+1,""))</f>
        <v/>
      </c>
    </row>
    <row r="670" spans="28:28" ht="15" customHeight="1">
      <c r="AB670" t="str">
        <f>IF('Project Tracker'!D710="","",IF(COUNTIF('Project Tracker'!$D$2:D710,'Project Tracker'!D710)=1,MAX($AB$1:AB669)+1,""))</f>
        <v/>
      </c>
    </row>
    <row r="671" spans="28:28" ht="15" customHeight="1">
      <c r="AB671" t="str">
        <f>IF('Project Tracker'!D711="","",IF(COUNTIF('Project Tracker'!$D$2:D711,'Project Tracker'!D711)=1,MAX($AB$1:AB670)+1,""))</f>
        <v/>
      </c>
    </row>
    <row r="672" spans="28:28" ht="15" customHeight="1">
      <c r="AB672" t="str">
        <f>IF('Project Tracker'!D712="","",IF(COUNTIF('Project Tracker'!$D$2:D712,'Project Tracker'!D712)=1,MAX($AB$1:AB671)+1,""))</f>
        <v/>
      </c>
    </row>
    <row r="673" spans="28:28" ht="15" customHeight="1">
      <c r="AB673" t="str">
        <f>IF('Project Tracker'!D713="","",IF(COUNTIF('Project Tracker'!$D$2:D713,'Project Tracker'!D713)=1,MAX($AB$1:AB672)+1,""))</f>
        <v/>
      </c>
    </row>
    <row r="674" spans="28:28" ht="15" customHeight="1">
      <c r="AB674" t="str">
        <f>IF('Project Tracker'!D714="","",IF(COUNTIF('Project Tracker'!$D$2:D714,'Project Tracker'!D714)=1,MAX($AB$1:AB673)+1,""))</f>
        <v/>
      </c>
    </row>
    <row r="675" spans="28:28" ht="15" customHeight="1">
      <c r="AB675" t="str">
        <f>IF('Project Tracker'!D715="","",IF(COUNTIF('Project Tracker'!$D$2:D715,'Project Tracker'!D715)=1,MAX($AB$1:AB674)+1,""))</f>
        <v/>
      </c>
    </row>
    <row r="676" spans="28:28" ht="15" customHeight="1">
      <c r="AB676" t="str">
        <f>IF('Project Tracker'!D716="","",IF(COUNTIF('Project Tracker'!$D$2:D716,'Project Tracker'!D716)=1,MAX($AB$1:AB675)+1,""))</f>
        <v/>
      </c>
    </row>
    <row r="677" spans="28:28" ht="15" customHeight="1">
      <c r="AB677" t="str">
        <f>IF('Project Tracker'!D717="","",IF(COUNTIF('Project Tracker'!$D$2:D717,'Project Tracker'!D717)=1,MAX($AB$1:AB676)+1,""))</f>
        <v/>
      </c>
    </row>
    <row r="678" spans="28:28" ht="15" customHeight="1">
      <c r="AB678" t="str">
        <f>IF('Project Tracker'!D718="","",IF(COUNTIF('Project Tracker'!$D$2:D718,'Project Tracker'!D718)=1,MAX($AB$1:AB677)+1,""))</f>
        <v/>
      </c>
    </row>
    <row r="679" spans="28:28" ht="15" customHeight="1">
      <c r="AB679" t="str">
        <f>IF('Project Tracker'!D719="","",IF(COUNTIF('Project Tracker'!$D$2:D719,'Project Tracker'!D719)=1,MAX($AB$1:AB678)+1,""))</f>
        <v/>
      </c>
    </row>
    <row r="680" spans="28:28" ht="15" customHeight="1">
      <c r="AB680" t="str">
        <f>IF('Project Tracker'!D720="","",IF(COUNTIF('Project Tracker'!$D$2:D720,'Project Tracker'!D720)=1,MAX($AB$1:AB679)+1,""))</f>
        <v/>
      </c>
    </row>
    <row r="681" spans="28:28" ht="15" customHeight="1">
      <c r="AB681" t="str">
        <f>IF('Project Tracker'!D721="","",IF(COUNTIF('Project Tracker'!$D$2:D721,'Project Tracker'!D721)=1,MAX($AB$1:AB680)+1,""))</f>
        <v/>
      </c>
    </row>
    <row r="682" spans="28:28" ht="15" customHeight="1">
      <c r="AB682" t="str">
        <f>IF('Project Tracker'!D722="","",IF(COUNTIF('Project Tracker'!$D$2:D722,'Project Tracker'!D722)=1,MAX($AB$1:AB681)+1,""))</f>
        <v/>
      </c>
    </row>
    <row r="683" spans="28:28" ht="15" customHeight="1">
      <c r="AB683" t="str">
        <f>IF('Project Tracker'!D723="","",IF(COUNTIF('Project Tracker'!$D$2:D723,'Project Tracker'!D723)=1,MAX($AB$1:AB682)+1,""))</f>
        <v/>
      </c>
    </row>
    <row r="684" spans="28:28" ht="15" customHeight="1">
      <c r="AB684" t="str">
        <f>IF('Project Tracker'!D724="","",IF(COUNTIF('Project Tracker'!$D$2:D724,'Project Tracker'!D724)=1,MAX($AB$1:AB683)+1,""))</f>
        <v/>
      </c>
    </row>
    <row r="685" spans="28:28" ht="15" customHeight="1">
      <c r="AB685" t="str">
        <f>IF('Project Tracker'!D725="","",IF(COUNTIF('Project Tracker'!$D$2:D725,'Project Tracker'!D725)=1,MAX($AB$1:AB684)+1,""))</f>
        <v/>
      </c>
    </row>
    <row r="686" spans="28:28" ht="15" customHeight="1">
      <c r="AB686" t="str">
        <f>IF('Project Tracker'!D726="","",IF(COUNTIF('Project Tracker'!$D$2:D726,'Project Tracker'!D726)=1,MAX($AB$1:AB685)+1,""))</f>
        <v/>
      </c>
    </row>
    <row r="687" spans="28:28" ht="15" customHeight="1">
      <c r="AB687" t="str">
        <f>IF('Project Tracker'!D727="","",IF(COUNTIF('Project Tracker'!$D$2:D727,'Project Tracker'!D727)=1,MAX($AB$1:AB686)+1,""))</f>
        <v/>
      </c>
    </row>
    <row r="688" spans="28:28" ht="15" customHeight="1">
      <c r="AB688" t="str">
        <f>IF('Project Tracker'!D728="","",IF(COUNTIF('Project Tracker'!$D$2:D728,'Project Tracker'!D728)=1,MAX($AB$1:AB687)+1,""))</f>
        <v/>
      </c>
    </row>
    <row r="689" spans="28:28" ht="15" customHeight="1">
      <c r="AB689" t="str">
        <f>IF('Project Tracker'!D729="","",IF(COUNTIF('Project Tracker'!$D$2:D729,'Project Tracker'!D729)=1,MAX($AB$1:AB688)+1,""))</f>
        <v/>
      </c>
    </row>
    <row r="690" spans="28:28" ht="15" customHeight="1">
      <c r="AB690" t="str">
        <f>IF('Project Tracker'!D730="","",IF(COUNTIF('Project Tracker'!$D$2:D730,'Project Tracker'!D730)=1,MAX($AB$1:AB689)+1,""))</f>
        <v/>
      </c>
    </row>
    <row r="691" spans="28:28" ht="15" customHeight="1">
      <c r="AB691" t="str">
        <f>IF('Project Tracker'!D731="","",IF(COUNTIF('Project Tracker'!$D$2:D731,'Project Tracker'!D731)=1,MAX($AB$1:AB690)+1,""))</f>
        <v/>
      </c>
    </row>
    <row r="692" spans="28:28" ht="15" customHeight="1">
      <c r="AB692" t="str">
        <f>IF('Project Tracker'!D732="","",IF(COUNTIF('Project Tracker'!$D$2:D732,'Project Tracker'!D732)=1,MAX($AB$1:AB691)+1,""))</f>
        <v/>
      </c>
    </row>
    <row r="693" spans="28:28" ht="15" customHeight="1">
      <c r="AB693" t="str">
        <f>IF('Project Tracker'!D733="","",IF(COUNTIF('Project Tracker'!$D$2:D733,'Project Tracker'!D733)=1,MAX($AB$1:AB692)+1,""))</f>
        <v/>
      </c>
    </row>
    <row r="694" spans="28:28" ht="15" customHeight="1">
      <c r="AB694" t="str">
        <f>IF('Project Tracker'!D734="","",IF(COUNTIF('Project Tracker'!$D$2:D734,'Project Tracker'!D734)=1,MAX($AB$1:AB693)+1,""))</f>
        <v/>
      </c>
    </row>
    <row r="695" spans="28:28" ht="15" customHeight="1">
      <c r="AB695" t="str">
        <f>IF('Project Tracker'!D735="","",IF(COUNTIF('Project Tracker'!$D$2:D735,'Project Tracker'!D735)=1,MAX($AB$1:AB694)+1,""))</f>
        <v/>
      </c>
    </row>
    <row r="696" spans="28:28" ht="15" customHeight="1">
      <c r="AB696" t="str">
        <f>IF('Project Tracker'!D736="","",IF(COUNTIF('Project Tracker'!$D$2:D736,'Project Tracker'!D736)=1,MAX($AB$1:AB695)+1,""))</f>
        <v/>
      </c>
    </row>
    <row r="697" spans="28:28" ht="15" customHeight="1">
      <c r="AB697" t="str">
        <f>IF('Project Tracker'!D737="","",IF(COUNTIF('Project Tracker'!$D$2:D737,'Project Tracker'!D737)=1,MAX($AB$1:AB696)+1,""))</f>
        <v/>
      </c>
    </row>
    <row r="698" spans="28:28" ht="15" customHeight="1">
      <c r="AB698" t="str">
        <f>IF('Project Tracker'!D738="","",IF(COUNTIF('Project Tracker'!$D$2:D738,'Project Tracker'!D738)=1,MAX($AB$1:AB697)+1,""))</f>
        <v/>
      </c>
    </row>
    <row r="699" spans="28:28" ht="15" customHeight="1">
      <c r="AB699" t="str">
        <f>IF('Project Tracker'!D739="","",IF(COUNTIF('Project Tracker'!$D$2:D739,'Project Tracker'!D739)=1,MAX($AB$1:AB698)+1,""))</f>
        <v/>
      </c>
    </row>
    <row r="700" spans="28:28" ht="15" customHeight="1">
      <c r="AB700" t="str">
        <f>IF('Project Tracker'!D740="","",IF(COUNTIF('Project Tracker'!$D$2:D740,'Project Tracker'!D740)=1,MAX($AB$1:AB699)+1,""))</f>
        <v/>
      </c>
    </row>
    <row r="701" spans="28:28" ht="15" customHeight="1">
      <c r="AB701" t="str">
        <f>IF('Project Tracker'!D741="","",IF(COUNTIF('Project Tracker'!$D$2:D741,'Project Tracker'!D741)=1,MAX($AB$1:AB700)+1,""))</f>
        <v/>
      </c>
    </row>
    <row r="702" spans="28:28" ht="15" customHeight="1">
      <c r="AB702" t="str">
        <f>IF('Project Tracker'!D742="","",IF(COUNTIF('Project Tracker'!$D$2:D742,'Project Tracker'!D742)=1,MAX($AB$1:AB701)+1,""))</f>
        <v/>
      </c>
    </row>
    <row r="703" spans="28:28" ht="15" customHeight="1">
      <c r="AB703" t="str">
        <f>IF('Project Tracker'!D743="","",IF(COUNTIF('Project Tracker'!$D$2:D743,'Project Tracker'!D743)=1,MAX($AB$1:AB702)+1,""))</f>
        <v/>
      </c>
    </row>
    <row r="704" spans="28:28" ht="15" customHeight="1">
      <c r="AB704" t="str">
        <f>IF('Project Tracker'!D744="","",IF(COUNTIF('Project Tracker'!$D$2:D744,'Project Tracker'!D744)=1,MAX($AB$1:AB703)+1,""))</f>
        <v/>
      </c>
    </row>
    <row r="705" spans="28:28" ht="15" customHeight="1">
      <c r="AB705" t="str">
        <f>IF('Project Tracker'!D745="","",IF(COUNTIF('Project Tracker'!$D$2:D745,'Project Tracker'!D745)=1,MAX($AB$1:AB704)+1,""))</f>
        <v/>
      </c>
    </row>
    <row r="706" spans="28:28" ht="15" customHeight="1">
      <c r="AB706" t="str">
        <f>IF('Project Tracker'!D746="","",IF(COUNTIF('Project Tracker'!$D$2:D746,'Project Tracker'!D746)=1,MAX($AB$1:AB705)+1,""))</f>
        <v/>
      </c>
    </row>
    <row r="707" spans="28:28" ht="15" customHeight="1">
      <c r="AB707" t="str">
        <f>IF('Project Tracker'!D747="","",IF(COUNTIF('Project Tracker'!$D$2:D747,'Project Tracker'!D747)=1,MAX($AB$1:AB706)+1,""))</f>
        <v/>
      </c>
    </row>
    <row r="708" spans="28:28" ht="15" customHeight="1">
      <c r="AB708" t="str">
        <f>IF('Project Tracker'!D748="","",IF(COUNTIF('Project Tracker'!$D$2:D748,'Project Tracker'!D748)=1,MAX($AB$1:AB707)+1,""))</f>
        <v/>
      </c>
    </row>
    <row r="709" spans="28:28" ht="15" customHeight="1">
      <c r="AB709" t="str">
        <f>IF('Project Tracker'!D749="","",IF(COUNTIF('Project Tracker'!$D$2:D749,'Project Tracker'!D749)=1,MAX($AB$1:AB708)+1,""))</f>
        <v/>
      </c>
    </row>
    <row r="710" spans="28:28" ht="15" customHeight="1">
      <c r="AB710" t="str">
        <f>IF('Project Tracker'!D750="","",IF(COUNTIF('Project Tracker'!$D$2:D750,'Project Tracker'!D750)=1,MAX($AB$1:AB709)+1,""))</f>
        <v/>
      </c>
    </row>
    <row r="711" spans="28:28" ht="15" customHeight="1">
      <c r="AB711" t="str">
        <f>IF('Project Tracker'!D751="","",IF(COUNTIF('Project Tracker'!$D$2:D751,'Project Tracker'!D751)=1,MAX($AB$1:AB710)+1,""))</f>
        <v/>
      </c>
    </row>
    <row r="712" spans="28:28" ht="15" customHeight="1">
      <c r="AB712" t="str">
        <f>IF('Project Tracker'!D752="","",IF(COUNTIF('Project Tracker'!$D$2:D752,'Project Tracker'!D752)=1,MAX($AB$1:AB711)+1,""))</f>
        <v/>
      </c>
    </row>
    <row r="713" spans="28:28" ht="15" customHeight="1">
      <c r="AB713" t="str">
        <f>IF('Project Tracker'!D753="","",IF(COUNTIF('Project Tracker'!$D$2:D753,'Project Tracker'!D753)=1,MAX($AB$1:AB712)+1,""))</f>
        <v/>
      </c>
    </row>
    <row r="714" spans="28:28" ht="15" customHeight="1">
      <c r="AB714" t="str">
        <f>IF('Project Tracker'!D754="","",IF(COUNTIF('Project Tracker'!$D$2:D754,'Project Tracker'!D754)=1,MAX($AB$1:AB713)+1,""))</f>
        <v/>
      </c>
    </row>
    <row r="715" spans="28:28" ht="15" customHeight="1">
      <c r="AB715" t="str">
        <f>IF('Project Tracker'!D755="","",IF(COUNTIF('Project Tracker'!$D$2:D755,'Project Tracker'!D755)=1,MAX($AB$1:AB714)+1,""))</f>
        <v/>
      </c>
    </row>
    <row r="716" spans="28:28" ht="15" customHeight="1">
      <c r="AB716" t="str">
        <f>IF('Project Tracker'!D756="","",IF(COUNTIF('Project Tracker'!$D$2:D756,'Project Tracker'!D756)=1,MAX($AB$1:AB715)+1,""))</f>
        <v/>
      </c>
    </row>
    <row r="717" spans="28:28" ht="15" customHeight="1">
      <c r="AB717" t="str">
        <f>IF('Project Tracker'!D757="","",IF(COUNTIF('Project Tracker'!$D$2:D757,'Project Tracker'!D757)=1,MAX($AB$1:AB716)+1,""))</f>
        <v/>
      </c>
    </row>
    <row r="718" spans="28:28" ht="15" customHeight="1">
      <c r="AB718" t="str">
        <f>IF('Project Tracker'!D758="","",IF(COUNTIF('Project Tracker'!$D$2:D758,'Project Tracker'!D758)=1,MAX($AB$1:AB717)+1,""))</f>
        <v/>
      </c>
    </row>
    <row r="719" spans="28:28" ht="15" customHeight="1">
      <c r="AB719" t="str">
        <f>IF('Project Tracker'!D759="","",IF(COUNTIF('Project Tracker'!$D$2:D759,'Project Tracker'!D759)=1,MAX($AB$1:AB718)+1,""))</f>
        <v/>
      </c>
    </row>
    <row r="720" spans="28:28" ht="15" customHeight="1">
      <c r="AB720" t="str">
        <f>IF('Project Tracker'!D760="","",IF(COUNTIF('Project Tracker'!$D$2:D760,'Project Tracker'!D760)=1,MAX($AB$1:AB719)+1,""))</f>
        <v/>
      </c>
    </row>
    <row r="721" spans="28:28" ht="15" customHeight="1">
      <c r="AB721" t="str">
        <f>IF('Project Tracker'!D761="","",IF(COUNTIF('Project Tracker'!$D$2:D761,'Project Tracker'!D761)=1,MAX($AB$1:AB720)+1,""))</f>
        <v/>
      </c>
    </row>
    <row r="722" spans="28:28" ht="15" customHeight="1">
      <c r="AB722" t="str">
        <f>IF('Project Tracker'!D762="","",IF(COUNTIF('Project Tracker'!$D$2:D762,'Project Tracker'!D762)=1,MAX($AB$1:AB721)+1,""))</f>
        <v/>
      </c>
    </row>
    <row r="723" spans="28:28" ht="15" customHeight="1">
      <c r="AB723" t="str">
        <f>IF('Project Tracker'!D763="","",IF(COUNTIF('Project Tracker'!$D$2:D763,'Project Tracker'!D763)=1,MAX($AB$1:AB722)+1,""))</f>
        <v/>
      </c>
    </row>
    <row r="724" spans="28:28" ht="15" customHeight="1">
      <c r="AB724" t="str">
        <f>IF('Project Tracker'!D764="","",IF(COUNTIF('Project Tracker'!$D$2:D764,'Project Tracker'!D764)=1,MAX($AB$1:AB723)+1,""))</f>
        <v/>
      </c>
    </row>
    <row r="725" spans="28:28" ht="15" customHeight="1">
      <c r="AB725" t="str">
        <f>IF('Project Tracker'!D765="","",IF(COUNTIF('Project Tracker'!$D$2:D765,'Project Tracker'!D765)=1,MAX($AB$1:AB724)+1,""))</f>
        <v/>
      </c>
    </row>
    <row r="726" spans="28:28" ht="15" customHeight="1">
      <c r="AB726" t="str">
        <f>IF('Project Tracker'!D766="","",IF(COUNTIF('Project Tracker'!$D$2:D766,'Project Tracker'!D766)=1,MAX($AB$1:AB725)+1,""))</f>
        <v/>
      </c>
    </row>
    <row r="727" spans="28:28" ht="15" customHeight="1">
      <c r="AB727" t="str">
        <f>IF('Project Tracker'!D767="","",IF(COUNTIF('Project Tracker'!$D$2:D767,'Project Tracker'!D767)=1,MAX($AB$1:AB726)+1,""))</f>
        <v/>
      </c>
    </row>
    <row r="728" spans="28:28" ht="15" customHeight="1">
      <c r="AB728" t="str">
        <f>IF('Project Tracker'!D768="","",IF(COUNTIF('Project Tracker'!$D$2:D768,'Project Tracker'!D768)=1,MAX($AB$1:AB727)+1,""))</f>
        <v/>
      </c>
    </row>
    <row r="729" spans="28:28" ht="15" customHeight="1">
      <c r="AB729" t="str">
        <f>IF('Project Tracker'!D769="","",IF(COUNTIF('Project Tracker'!$D$2:D769,'Project Tracker'!D769)=1,MAX($AB$1:AB728)+1,""))</f>
        <v/>
      </c>
    </row>
    <row r="730" spans="28:28" ht="15" customHeight="1">
      <c r="AB730" t="str">
        <f>IF('Project Tracker'!D770="","",IF(COUNTIF('Project Tracker'!$D$2:D770,'Project Tracker'!D770)=1,MAX($AB$1:AB729)+1,""))</f>
        <v/>
      </c>
    </row>
    <row r="731" spans="28:28" ht="15" customHeight="1">
      <c r="AB731" t="str">
        <f>IF('Project Tracker'!D771="","",IF(COUNTIF('Project Tracker'!$D$2:D771,'Project Tracker'!D771)=1,MAX($AB$1:AB730)+1,""))</f>
        <v/>
      </c>
    </row>
    <row r="732" spans="28:28" ht="15" customHeight="1">
      <c r="AB732" t="str">
        <f>IF('Project Tracker'!D772="","",IF(COUNTIF('Project Tracker'!$D$2:D772,'Project Tracker'!D772)=1,MAX($AB$1:AB731)+1,""))</f>
        <v/>
      </c>
    </row>
    <row r="733" spans="28:28" ht="15" customHeight="1">
      <c r="AB733" t="str">
        <f>IF('Project Tracker'!D773="","",IF(COUNTIF('Project Tracker'!$D$2:D773,'Project Tracker'!D773)=1,MAX($AB$1:AB732)+1,""))</f>
        <v/>
      </c>
    </row>
    <row r="734" spans="28:28" ht="15" customHeight="1">
      <c r="AB734" t="str">
        <f>IF('Project Tracker'!D774="","",IF(COUNTIF('Project Tracker'!$D$2:D774,'Project Tracker'!D774)=1,MAX($AB$1:AB733)+1,""))</f>
        <v/>
      </c>
    </row>
    <row r="735" spans="28:28" ht="15" customHeight="1">
      <c r="AB735" t="str">
        <f>IF('Project Tracker'!D775="","",IF(COUNTIF('Project Tracker'!$D$2:D775,'Project Tracker'!D775)=1,MAX($AB$1:AB734)+1,""))</f>
        <v/>
      </c>
    </row>
    <row r="736" spans="28:28" ht="15" customHeight="1">
      <c r="AB736" t="str">
        <f>IF('Project Tracker'!D776="","",IF(COUNTIF('Project Tracker'!$D$2:D776,'Project Tracker'!D776)=1,MAX($AB$1:AB735)+1,""))</f>
        <v/>
      </c>
    </row>
    <row r="737" spans="28:28" ht="15" customHeight="1">
      <c r="AB737" t="str">
        <f>IF('Project Tracker'!D777="","",IF(COUNTIF('Project Tracker'!$D$2:D777,'Project Tracker'!D777)=1,MAX($AB$1:AB736)+1,""))</f>
        <v/>
      </c>
    </row>
    <row r="738" spans="28:28" ht="15" customHeight="1">
      <c r="AB738" t="str">
        <f>IF('Project Tracker'!D778="","",IF(COUNTIF('Project Tracker'!$D$2:D778,'Project Tracker'!D778)=1,MAX($AB$1:AB737)+1,""))</f>
        <v/>
      </c>
    </row>
    <row r="739" spans="28:28" ht="15" customHeight="1">
      <c r="AB739" t="str">
        <f>IF('Project Tracker'!D779="","",IF(COUNTIF('Project Tracker'!$D$2:D779,'Project Tracker'!D779)=1,MAX($AB$1:AB738)+1,""))</f>
        <v/>
      </c>
    </row>
    <row r="740" spans="28:28" ht="15" customHeight="1">
      <c r="AB740" t="str">
        <f>IF('Project Tracker'!D780="","",IF(COUNTIF('Project Tracker'!$D$2:D780,'Project Tracker'!D780)=1,MAX($AB$1:AB739)+1,""))</f>
        <v/>
      </c>
    </row>
    <row r="741" spans="28:28" ht="15" customHeight="1">
      <c r="AB741" t="str">
        <f>IF('Project Tracker'!D781="","",IF(COUNTIF('Project Tracker'!$D$2:D781,'Project Tracker'!D781)=1,MAX($AB$1:AB740)+1,""))</f>
        <v/>
      </c>
    </row>
    <row r="742" spans="28:28" ht="15" customHeight="1">
      <c r="AB742" t="str">
        <f>IF('Project Tracker'!D782="","",IF(COUNTIF('Project Tracker'!$D$2:D782,'Project Tracker'!D782)=1,MAX($AB$1:AB741)+1,""))</f>
        <v/>
      </c>
    </row>
    <row r="743" spans="28:28" ht="15" customHeight="1">
      <c r="AB743" t="str">
        <f>IF('Project Tracker'!D783="","",IF(COUNTIF('Project Tracker'!$D$2:D783,'Project Tracker'!D783)=1,MAX($AB$1:AB742)+1,""))</f>
        <v/>
      </c>
    </row>
    <row r="744" spans="28:28" ht="15" customHeight="1">
      <c r="AB744" t="str">
        <f>IF('Project Tracker'!D784="","",IF(COUNTIF('Project Tracker'!$D$2:D784,'Project Tracker'!D784)=1,MAX($AB$1:AB743)+1,""))</f>
        <v/>
      </c>
    </row>
    <row r="745" spans="28:28" ht="15" customHeight="1">
      <c r="AB745" t="str">
        <f>IF('Project Tracker'!D785="","",IF(COUNTIF('Project Tracker'!$D$2:D785,'Project Tracker'!D785)=1,MAX($AB$1:AB744)+1,""))</f>
        <v/>
      </c>
    </row>
    <row r="746" spans="28:28" ht="15" customHeight="1">
      <c r="AB746" t="str">
        <f>IF('Project Tracker'!D786="","",IF(COUNTIF('Project Tracker'!$D$2:D786,'Project Tracker'!D786)=1,MAX($AB$1:AB745)+1,""))</f>
        <v/>
      </c>
    </row>
    <row r="747" spans="28:28" ht="15" customHeight="1">
      <c r="AB747" t="str">
        <f>IF('Project Tracker'!D787="","",IF(COUNTIF('Project Tracker'!$D$2:D787,'Project Tracker'!D787)=1,MAX($AB$1:AB746)+1,""))</f>
        <v/>
      </c>
    </row>
    <row r="748" spans="28:28" ht="15" customHeight="1">
      <c r="AB748" t="str">
        <f>IF('Project Tracker'!D788="","",IF(COUNTIF('Project Tracker'!$D$2:D788,'Project Tracker'!D788)=1,MAX($AB$1:AB747)+1,""))</f>
        <v/>
      </c>
    </row>
    <row r="749" spans="28:28" ht="15" customHeight="1">
      <c r="AB749" t="str">
        <f>IF('Project Tracker'!D789="","",IF(COUNTIF('Project Tracker'!$D$2:D789,'Project Tracker'!D789)=1,MAX($AB$1:AB748)+1,""))</f>
        <v/>
      </c>
    </row>
    <row r="750" spans="28:28" ht="15" customHeight="1">
      <c r="AB750" t="str">
        <f>IF('Project Tracker'!D790="","",IF(COUNTIF('Project Tracker'!$D$2:D790,'Project Tracker'!D790)=1,MAX($AB$1:AB749)+1,""))</f>
        <v/>
      </c>
    </row>
    <row r="751" spans="28:28" ht="15" customHeight="1">
      <c r="AB751" t="str">
        <f>IF('Project Tracker'!D791="","",IF(COUNTIF('Project Tracker'!$D$2:D791,'Project Tracker'!D791)=1,MAX($AB$1:AB750)+1,""))</f>
        <v/>
      </c>
    </row>
    <row r="752" spans="28:28" ht="15" customHeight="1">
      <c r="AB752" t="str">
        <f>IF('Project Tracker'!D792="","",IF(COUNTIF('Project Tracker'!$D$2:D792,'Project Tracker'!D792)=1,MAX($AB$1:AB751)+1,""))</f>
        <v/>
      </c>
    </row>
    <row r="753" spans="28:28" ht="15" customHeight="1">
      <c r="AB753" t="str">
        <f>IF('Project Tracker'!D793="","",IF(COUNTIF('Project Tracker'!$D$2:D793,'Project Tracker'!D793)=1,MAX($AB$1:AB752)+1,""))</f>
        <v/>
      </c>
    </row>
    <row r="754" spans="28:28" ht="15" customHeight="1">
      <c r="AB754" t="str">
        <f>IF('Project Tracker'!D794="","",IF(COUNTIF('Project Tracker'!$D$2:D794,'Project Tracker'!D794)=1,MAX($AB$1:AB753)+1,""))</f>
        <v/>
      </c>
    </row>
    <row r="755" spans="28:28" ht="15" customHeight="1">
      <c r="AB755" t="str">
        <f>IF('Project Tracker'!D795="","",IF(COUNTIF('Project Tracker'!$D$2:D795,'Project Tracker'!D795)=1,MAX($AB$1:AB754)+1,""))</f>
        <v/>
      </c>
    </row>
    <row r="756" spans="28:28" ht="15" customHeight="1">
      <c r="AB756" t="str">
        <f>IF('Project Tracker'!D796="","",IF(COUNTIF('Project Tracker'!$D$2:D796,'Project Tracker'!D796)=1,MAX($AB$1:AB755)+1,""))</f>
        <v/>
      </c>
    </row>
    <row r="757" spans="28:28" ht="15" customHeight="1">
      <c r="AB757" t="str">
        <f>IF('Project Tracker'!D797="","",IF(COUNTIF('Project Tracker'!$D$2:D797,'Project Tracker'!D797)=1,MAX($AB$1:AB756)+1,""))</f>
        <v/>
      </c>
    </row>
    <row r="758" spans="28:28" ht="15" customHeight="1">
      <c r="AB758" t="str">
        <f>IF('Project Tracker'!D798="","",IF(COUNTIF('Project Tracker'!$D$2:D798,'Project Tracker'!D798)=1,MAX($AB$1:AB757)+1,""))</f>
        <v/>
      </c>
    </row>
    <row r="759" spans="28:28" ht="15" customHeight="1">
      <c r="AB759" t="str">
        <f>IF('Project Tracker'!D799="","",IF(COUNTIF('Project Tracker'!$D$2:D799,'Project Tracker'!D799)=1,MAX($AB$1:AB758)+1,""))</f>
        <v/>
      </c>
    </row>
    <row r="760" spans="28:28" ht="15" customHeight="1">
      <c r="AB760" t="str">
        <f>IF('Project Tracker'!D800="","",IF(COUNTIF('Project Tracker'!$D$2:D800,'Project Tracker'!D800)=1,MAX($AB$1:AB759)+1,""))</f>
        <v/>
      </c>
    </row>
    <row r="761" spans="28:28" ht="15" customHeight="1">
      <c r="AB761" t="str">
        <f>IF('Project Tracker'!D801="","",IF(COUNTIF('Project Tracker'!$D$2:D801,'Project Tracker'!D801)=1,MAX($AB$1:AB760)+1,""))</f>
        <v/>
      </c>
    </row>
    <row r="762" spans="28:28" ht="15" customHeight="1">
      <c r="AB762" t="str">
        <f>IF('Project Tracker'!D802="","",IF(COUNTIF('Project Tracker'!$D$2:D802,'Project Tracker'!D802)=1,MAX($AB$1:AB761)+1,""))</f>
        <v/>
      </c>
    </row>
    <row r="763" spans="28:28" ht="15" customHeight="1">
      <c r="AB763" t="str">
        <f>IF('Project Tracker'!D803="","",IF(COUNTIF('Project Tracker'!$D$2:D803,'Project Tracker'!D803)=1,MAX($AB$1:AB762)+1,""))</f>
        <v/>
      </c>
    </row>
    <row r="764" spans="28:28" ht="15" customHeight="1">
      <c r="AB764" t="str">
        <f>IF('Project Tracker'!D804="","",IF(COUNTIF('Project Tracker'!$D$2:D804,'Project Tracker'!D804)=1,MAX($AB$1:AB763)+1,""))</f>
        <v/>
      </c>
    </row>
    <row r="765" spans="28:28" ht="15" customHeight="1">
      <c r="AB765" t="str">
        <f>IF('Project Tracker'!D805="","",IF(COUNTIF('Project Tracker'!$D$2:D805,'Project Tracker'!D805)=1,MAX($AB$1:AB764)+1,""))</f>
        <v/>
      </c>
    </row>
    <row r="766" spans="28:28" ht="15" customHeight="1">
      <c r="AB766" t="str">
        <f>IF('Project Tracker'!D806="","",IF(COUNTIF('Project Tracker'!$D$2:D806,'Project Tracker'!D806)=1,MAX($AB$1:AB765)+1,""))</f>
        <v/>
      </c>
    </row>
    <row r="767" spans="28:28" ht="15" customHeight="1">
      <c r="AB767" t="str">
        <f>IF('Project Tracker'!D807="","",IF(COUNTIF('Project Tracker'!$D$2:D807,'Project Tracker'!D807)=1,MAX($AB$1:AB766)+1,""))</f>
        <v/>
      </c>
    </row>
    <row r="768" spans="28:28" ht="15" customHeight="1">
      <c r="AB768" t="str">
        <f>IF('Project Tracker'!D808="","",IF(COUNTIF('Project Tracker'!$D$2:D808,'Project Tracker'!D808)=1,MAX($AB$1:AB767)+1,""))</f>
        <v/>
      </c>
    </row>
    <row r="769" spans="28:28" ht="15" customHeight="1">
      <c r="AB769" t="str">
        <f>IF('Project Tracker'!D809="","",IF(COUNTIF('Project Tracker'!$D$2:D809,'Project Tracker'!D809)=1,MAX($AB$1:AB768)+1,""))</f>
        <v/>
      </c>
    </row>
    <row r="770" spans="28:28" ht="15" customHeight="1">
      <c r="AB770" t="str">
        <f>IF('Project Tracker'!D810="","",IF(COUNTIF('Project Tracker'!$D$2:D810,'Project Tracker'!D810)=1,MAX($AB$1:AB769)+1,""))</f>
        <v/>
      </c>
    </row>
    <row r="771" spans="28:28" ht="15" customHeight="1">
      <c r="AB771" t="str">
        <f>IF('Project Tracker'!D811="","",IF(COUNTIF('Project Tracker'!$D$2:D811,'Project Tracker'!D811)=1,MAX($AB$1:AB770)+1,""))</f>
        <v/>
      </c>
    </row>
    <row r="772" spans="28:28" ht="15" customHeight="1">
      <c r="AB772" t="str">
        <f>IF('Project Tracker'!D812="","",IF(COUNTIF('Project Tracker'!$D$2:D812,'Project Tracker'!D812)=1,MAX($AB$1:AB771)+1,""))</f>
        <v/>
      </c>
    </row>
    <row r="773" spans="28:28" ht="15" customHeight="1">
      <c r="AB773" t="str">
        <f>IF('Project Tracker'!D813="","",IF(COUNTIF('Project Tracker'!$D$2:D813,'Project Tracker'!D813)=1,MAX($AB$1:AB772)+1,""))</f>
        <v/>
      </c>
    </row>
    <row r="774" spans="28:28" ht="15" customHeight="1">
      <c r="AB774" t="str">
        <f>IF('Project Tracker'!D814="","",IF(COUNTIF('Project Tracker'!$D$2:D814,'Project Tracker'!D814)=1,MAX($AB$1:AB773)+1,""))</f>
        <v/>
      </c>
    </row>
    <row r="775" spans="28:28" ht="15" customHeight="1">
      <c r="AB775" t="str">
        <f>IF('Project Tracker'!D815="","",IF(COUNTIF('Project Tracker'!$D$2:D815,'Project Tracker'!D815)=1,MAX($AB$1:AB774)+1,""))</f>
        <v/>
      </c>
    </row>
    <row r="776" spans="28:28" ht="15" customHeight="1">
      <c r="AB776" t="str">
        <f>IF('Project Tracker'!D816="","",IF(COUNTIF('Project Tracker'!$D$2:D816,'Project Tracker'!D816)=1,MAX($AB$1:AB775)+1,""))</f>
        <v/>
      </c>
    </row>
    <row r="777" spans="28:28" ht="15" customHeight="1">
      <c r="AB777" t="str">
        <f>IF('Project Tracker'!D817="","",IF(COUNTIF('Project Tracker'!$D$2:D817,'Project Tracker'!D817)=1,MAX($AB$1:AB776)+1,""))</f>
        <v/>
      </c>
    </row>
    <row r="778" spans="28:28" ht="15" customHeight="1">
      <c r="AB778" t="str">
        <f>IF('Project Tracker'!D818="","",IF(COUNTIF('Project Tracker'!$D$2:D818,'Project Tracker'!D818)=1,MAX($AB$1:AB777)+1,""))</f>
        <v/>
      </c>
    </row>
    <row r="779" spans="28:28" ht="15" customHeight="1">
      <c r="AB779" t="str">
        <f>IF('Project Tracker'!D819="","",IF(COUNTIF('Project Tracker'!$D$2:D819,'Project Tracker'!D819)=1,MAX($AB$1:AB778)+1,""))</f>
        <v/>
      </c>
    </row>
    <row r="780" spans="28:28" ht="15" customHeight="1">
      <c r="AB780" t="str">
        <f>IF('Project Tracker'!D820="","",IF(COUNTIF('Project Tracker'!$D$2:D820,'Project Tracker'!D820)=1,MAX($AB$1:AB779)+1,""))</f>
        <v/>
      </c>
    </row>
    <row r="781" spans="28:28" ht="15" customHeight="1">
      <c r="AB781" t="str">
        <f>IF('Project Tracker'!D821="","",IF(COUNTIF('Project Tracker'!$D$2:D821,'Project Tracker'!D821)=1,MAX($AB$1:AB780)+1,""))</f>
        <v/>
      </c>
    </row>
    <row r="782" spans="28:28" ht="15" customHeight="1">
      <c r="AB782" t="str">
        <f>IF('Project Tracker'!D822="","",IF(COUNTIF('Project Tracker'!$D$2:D822,'Project Tracker'!D822)=1,MAX($AB$1:AB781)+1,""))</f>
        <v/>
      </c>
    </row>
    <row r="783" spans="28:28" ht="15" customHeight="1">
      <c r="AB783" t="str">
        <f>IF('Project Tracker'!D823="","",IF(COUNTIF('Project Tracker'!$D$2:D823,'Project Tracker'!D823)=1,MAX($AB$1:AB782)+1,""))</f>
        <v/>
      </c>
    </row>
    <row r="784" spans="28:28" ht="15" customHeight="1">
      <c r="AB784" t="str">
        <f>IF('Project Tracker'!D824="","",IF(COUNTIF('Project Tracker'!$D$2:D824,'Project Tracker'!D824)=1,MAX($AB$1:AB783)+1,""))</f>
        <v/>
      </c>
    </row>
    <row r="785" spans="28:28" ht="15" customHeight="1">
      <c r="AB785" t="str">
        <f>IF('Project Tracker'!D825="","",IF(COUNTIF('Project Tracker'!$D$2:D825,'Project Tracker'!D825)=1,MAX($AB$1:AB784)+1,""))</f>
        <v/>
      </c>
    </row>
    <row r="786" spans="28:28" ht="15" customHeight="1">
      <c r="AB786" t="str">
        <f>IF('Project Tracker'!D826="","",IF(COUNTIF('Project Tracker'!$D$2:D826,'Project Tracker'!D826)=1,MAX($AB$1:AB785)+1,""))</f>
        <v/>
      </c>
    </row>
    <row r="787" spans="28:28" ht="15" customHeight="1">
      <c r="AB787" t="str">
        <f>IF('Project Tracker'!D827="","",IF(COUNTIF('Project Tracker'!$D$2:D827,'Project Tracker'!D827)=1,MAX($AB$1:AB786)+1,""))</f>
        <v/>
      </c>
    </row>
    <row r="788" spans="28:28" ht="15" customHeight="1">
      <c r="AB788" t="str">
        <f>IF('Project Tracker'!D828="","",IF(COUNTIF('Project Tracker'!$D$2:D828,'Project Tracker'!D828)=1,MAX($AB$1:AB787)+1,""))</f>
        <v/>
      </c>
    </row>
    <row r="789" spans="28:28" ht="15" customHeight="1">
      <c r="AB789" t="str">
        <f>IF('Project Tracker'!D829="","",IF(COUNTIF('Project Tracker'!$D$2:D829,'Project Tracker'!D829)=1,MAX($AB$1:AB788)+1,""))</f>
        <v/>
      </c>
    </row>
    <row r="790" spans="28:28" ht="15" customHeight="1">
      <c r="AB790" t="str">
        <f>IF('Project Tracker'!D830="","",IF(COUNTIF('Project Tracker'!$D$2:D830,'Project Tracker'!D830)=1,MAX($AB$1:AB789)+1,""))</f>
        <v/>
      </c>
    </row>
    <row r="791" spans="28:28" ht="15" customHeight="1">
      <c r="AB791" t="str">
        <f>IF('Project Tracker'!D831="","",IF(COUNTIF('Project Tracker'!$D$2:D831,'Project Tracker'!D831)=1,MAX($AB$1:AB790)+1,""))</f>
        <v/>
      </c>
    </row>
    <row r="792" spans="28:28" ht="15" customHeight="1">
      <c r="AB792" t="str">
        <f>IF('Project Tracker'!D832="","",IF(COUNTIF('Project Tracker'!$D$2:D832,'Project Tracker'!D832)=1,MAX($AB$1:AB791)+1,""))</f>
        <v/>
      </c>
    </row>
    <row r="793" spans="28:28" ht="15" customHeight="1">
      <c r="AB793" t="str">
        <f>IF('Project Tracker'!D833="","",IF(COUNTIF('Project Tracker'!$D$2:D833,'Project Tracker'!D833)=1,MAX($AB$1:AB792)+1,""))</f>
        <v/>
      </c>
    </row>
    <row r="794" spans="28:28" ht="15" customHeight="1">
      <c r="AB794" t="str">
        <f>IF('Project Tracker'!D834="","",IF(COUNTIF('Project Tracker'!$D$2:D834,'Project Tracker'!D834)=1,MAX($AB$1:AB793)+1,""))</f>
        <v/>
      </c>
    </row>
    <row r="795" spans="28:28" ht="15" customHeight="1">
      <c r="AB795" t="str">
        <f>IF('Project Tracker'!D835="","",IF(COUNTIF('Project Tracker'!$D$2:D835,'Project Tracker'!D835)=1,MAX($AB$1:AB794)+1,""))</f>
        <v/>
      </c>
    </row>
    <row r="796" spans="28:28" ht="15" customHeight="1">
      <c r="AB796" t="str">
        <f>IF('Project Tracker'!D836="","",IF(COUNTIF('Project Tracker'!$D$2:D836,'Project Tracker'!D836)=1,MAX($AB$1:AB795)+1,""))</f>
        <v/>
      </c>
    </row>
    <row r="797" spans="28:28" ht="15" customHeight="1">
      <c r="AB797" t="str">
        <f>IF('Project Tracker'!D837="","",IF(COUNTIF('Project Tracker'!$D$2:D837,'Project Tracker'!D837)=1,MAX($AB$1:AB796)+1,""))</f>
        <v/>
      </c>
    </row>
    <row r="798" spans="28:28" ht="15" customHeight="1">
      <c r="AB798" t="str">
        <f>IF('Project Tracker'!D838="","",IF(COUNTIF('Project Tracker'!$D$2:D838,'Project Tracker'!D838)=1,MAX($AB$1:AB797)+1,""))</f>
        <v/>
      </c>
    </row>
    <row r="799" spans="28:28" ht="15" customHeight="1">
      <c r="AB799" t="str">
        <f>IF('Project Tracker'!D839="","",IF(COUNTIF('Project Tracker'!$D$2:D839,'Project Tracker'!D839)=1,MAX($AB$1:AB798)+1,""))</f>
        <v/>
      </c>
    </row>
    <row r="800" spans="28:28" ht="15" customHeight="1">
      <c r="AB800" t="str">
        <f>IF('Project Tracker'!D840="","",IF(COUNTIF('Project Tracker'!$D$2:D840,'Project Tracker'!D840)=1,MAX($AB$1:AB799)+1,""))</f>
        <v/>
      </c>
    </row>
    <row r="801" spans="28:28" ht="15" customHeight="1">
      <c r="AB801" t="str">
        <f>IF('Project Tracker'!D841="","",IF(COUNTIF('Project Tracker'!$D$2:D841,'Project Tracker'!D841)=1,MAX($AB$1:AB800)+1,""))</f>
        <v/>
      </c>
    </row>
    <row r="802" spans="28:28" ht="15" customHeight="1">
      <c r="AB802" t="str">
        <f>IF('Project Tracker'!D842="","",IF(COUNTIF('Project Tracker'!$D$2:D842,'Project Tracker'!D842)=1,MAX($AB$1:AB801)+1,""))</f>
        <v/>
      </c>
    </row>
    <row r="803" spans="28:28" ht="15" customHeight="1">
      <c r="AB803" t="str">
        <f>IF('Project Tracker'!D843="","",IF(COUNTIF('Project Tracker'!$D$2:D843,'Project Tracker'!D843)=1,MAX($AB$1:AB802)+1,""))</f>
        <v/>
      </c>
    </row>
    <row r="804" spans="28:28" ht="15" customHeight="1">
      <c r="AB804" t="str">
        <f>IF('Project Tracker'!D844="","",IF(COUNTIF('Project Tracker'!$D$2:D844,'Project Tracker'!D844)=1,MAX($AB$1:AB803)+1,""))</f>
        <v/>
      </c>
    </row>
    <row r="805" spans="28:28" ht="15" customHeight="1">
      <c r="AB805" t="str">
        <f>IF('Project Tracker'!D845="","",IF(COUNTIF('Project Tracker'!$D$2:D845,'Project Tracker'!D845)=1,MAX($AB$1:AB804)+1,""))</f>
        <v/>
      </c>
    </row>
    <row r="806" spans="28:28" ht="15" customHeight="1">
      <c r="AB806" t="str">
        <f>IF('Project Tracker'!D846="","",IF(COUNTIF('Project Tracker'!$D$2:D846,'Project Tracker'!D846)=1,MAX($AB$1:AB805)+1,""))</f>
        <v/>
      </c>
    </row>
    <row r="807" spans="28:28" ht="15" customHeight="1">
      <c r="AB807" t="str">
        <f>IF('Project Tracker'!D847="","",IF(COUNTIF('Project Tracker'!$D$2:D847,'Project Tracker'!D847)=1,MAX($AB$1:AB806)+1,""))</f>
        <v/>
      </c>
    </row>
    <row r="808" spans="28:28" ht="15" customHeight="1">
      <c r="AB808" t="str">
        <f>IF('Project Tracker'!D848="","",IF(COUNTIF('Project Tracker'!$D$2:D848,'Project Tracker'!D848)=1,MAX($AB$1:AB807)+1,""))</f>
        <v/>
      </c>
    </row>
    <row r="809" spans="28:28" ht="15" customHeight="1">
      <c r="AB809" t="str">
        <f>IF('Project Tracker'!D849="","",IF(COUNTIF('Project Tracker'!$D$2:D849,'Project Tracker'!D849)=1,MAX($AB$1:AB808)+1,""))</f>
        <v/>
      </c>
    </row>
    <row r="810" spans="28:28" ht="15" customHeight="1">
      <c r="AB810" t="str">
        <f>IF('Project Tracker'!D850="","",IF(COUNTIF('Project Tracker'!$D$2:D850,'Project Tracker'!D850)=1,MAX($AB$1:AB809)+1,""))</f>
        <v/>
      </c>
    </row>
    <row r="811" spans="28:28" ht="15" customHeight="1">
      <c r="AB811" t="str">
        <f>IF('Project Tracker'!D851="","",IF(COUNTIF('Project Tracker'!$D$2:D851,'Project Tracker'!D851)=1,MAX($AB$1:AB810)+1,""))</f>
        <v/>
      </c>
    </row>
    <row r="812" spans="28:28" ht="15" customHeight="1">
      <c r="AB812" t="str">
        <f>IF('Project Tracker'!D852="","",IF(COUNTIF('Project Tracker'!$D$2:D852,'Project Tracker'!D852)=1,MAX($AB$1:AB811)+1,""))</f>
        <v/>
      </c>
    </row>
    <row r="813" spans="28:28" ht="15" customHeight="1">
      <c r="AB813" t="str">
        <f>IF('Project Tracker'!D853="","",IF(COUNTIF('Project Tracker'!$D$2:D853,'Project Tracker'!D853)=1,MAX($AB$1:AB812)+1,""))</f>
        <v/>
      </c>
    </row>
    <row r="814" spans="28:28" ht="15" customHeight="1">
      <c r="AB814" t="str">
        <f>IF('Project Tracker'!D854="","",IF(COUNTIF('Project Tracker'!$D$2:D854,'Project Tracker'!D854)=1,MAX($AB$1:AB813)+1,""))</f>
        <v/>
      </c>
    </row>
    <row r="815" spans="28:28" ht="15" customHeight="1">
      <c r="AB815" t="str">
        <f>IF('Project Tracker'!D855="","",IF(COUNTIF('Project Tracker'!$D$2:D855,'Project Tracker'!D855)=1,MAX($AB$1:AB814)+1,""))</f>
        <v/>
      </c>
    </row>
    <row r="816" spans="28:28" ht="15" customHeight="1">
      <c r="AB816" t="str">
        <f>IF('Project Tracker'!D856="","",IF(COUNTIF('Project Tracker'!$D$2:D856,'Project Tracker'!D856)=1,MAX($AB$1:AB815)+1,""))</f>
        <v/>
      </c>
    </row>
    <row r="817" spans="28:28" ht="15" customHeight="1">
      <c r="AB817" t="str">
        <f>IF('Project Tracker'!D857="","",IF(COUNTIF('Project Tracker'!$D$2:D857,'Project Tracker'!D857)=1,MAX($AB$1:AB816)+1,""))</f>
        <v/>
      </c>
    </row>
    <row r="818" spans="28:28" ht="15" customHeight="1">
      <c r="AB818" t="str">
        <f>IF('Project Tracker'!D858="","",IF(COUNTIF('Project Tracker'!$D$2:D858,'Project Tracker'!D858)=1,MAX($AB$1:AB817)+1,""))</f>
        <v/>
      </c>
    </row>
    <row r="819" spans="28:28" ht="15" customHeight="1">
      <c r="AB819" t="str">
        <f>IF('Project Tracker'!D859="","",IF(COUNTIF('Project Tracker'!$D$2:D859,'Project Tracker'!D859)=1,MAX($AB$1:AB818)+1,""))</f>
        <v/>
      </c>
    </row>
    <row r="820" spans="28:28" ht="15" customHeight="1">
      <c r="AB820" t="str">
        <f>IF('Project Tracker'!D860="","",IF(COUNTIF('Project Tracker'!$D$2:D860,'Project Tracker'!D860)=1,MAX($AB$1:AB819)+1,""))</f>
        <v/>
      </c>
    </row>
    <row r="821" spans="28:28" ht="15" customHeight="1">
      <c r="AB821" t="str">
        <f>IF('Project Tracker'!D861="","",IF(COUNTIF('Project Tracker'!$D$2:D861,'Project Tracker'!D861)=1,MAX($AB$1:AB820)+1,""))</f>
        <v/>
      </c>
    </row>
    <row r="822" spans="28:28" ht="15" customHeight="1">
      <c r="AB822" t="str">
        <f>IF('Project Tracker'!D862="","",IF(COUNTIF('Project Tracker'!$D$2:D862,'Project Tracker'!D862)=1,MAX($AB$1:AB821)+1,""))</f>
        <v/>
      </c>
    </row>
    <row r="823" spans="28:28" ht="15" customHeight="1">
      <c r="AB823" t="str">
        <f>IF('Project Tracker'!D863="","",IF(COUNTIF('Project Tracker'!$D$2:D863,'Project Tracker'!D863)=1,MAX($AB$1:AB822)+1,""))</f>
        <v/>
      </c>
    </row>
    <row r="824" spans="28:28" ht="15" customHeight="1">
      <c r="AB824" t="str">
        <f>IF('Project Tracker'!D864="","",IF(COUNTIF('Project Tracker'!$D$2:D864,'Project Tracker'!D864)=1,MAX($AB$1:AB823)+1,""))</f>
        <v/>
      </c>
    </row>
    <row r="825" spans="28:28" ht="15" customHeight="1">
      <c r="AB825" t="str">
        <f>IF('Project Tracker'!D865="","",IF(COUNTIF('Project Tracker'!$D$2:D865,'Project Tracker'!D865)=1,MAX($AB$1:AB824)+1,""))</f>
        <v/>
      </c>
    </row>
    <row r="826" spans="28:28" ht="15" customHeight="1">
      <c r="AB826" t="str">
        <f>IF('Project Tracker'!D866="","",IF(COUNTIF('Project Tracker'!$D$2:D866,'Project Tracker'!D866)=1,MAX($AB$1:AB825)+1,""))</f>
        <v/>
      </c>
    </row>
    <row r="827" spans="28:28" ht="15" customHeight="1">
      <c r="AB827" t="str">
        <f>IF('Project Tracker'!D867="","",IF(COUNTIF('Project Tracker'!$D$2:D867,'Project Tracker'!D867)=1,MAX($AB$1:AB826)+1,""))</f>
        <v/>
      </c>
    </row>
    <row r="828" spans="28:28" ht="15" customHeight="1">
      <c r="AB828" t="str">
        <f>IF('Project Tracker'!D868="","",IF(COUNTIF('Project Tracker'!$D$2:D868,'Project Tracker'!D868)=1,MAX($AB$1:AB827)+1,""))</f>
        <v/>
      </c>
    </row>
    <row r="829" spans="28:28" ht="15" customHeight="1">
      <c r="AB829" t="str">
        <f>IF('Project Tracker'!D869="","",IF(COUNTIF('Project Tracker'!$D$2:D869,'Project Tracker'!D869)=1,MAX($AB$1:AB828)+1,""))</f>
        <v/>
      </c>
    </row>
    <row r="830" spans="28:28" ht="15" customHeight="1">
      <c r="AB830" t="str">
        <f>IF('Project Tracker'!D870="","",IF(COUNTIF('Project Tracker'!$D$2:D870,'Project Tracker'!D870)=1,MAX($AB$1:AB829)+1,""))</f>
        <v/>
      </c>
    </row>
    <row r="831" spans="28:28" ht="15" customHeight="1">
      <c r="AB831" t="str">
        <f>IF('Project Tracker'!D871="","",IF(COUNTIF('Project Tracker'!$D$2:D871,'Project Tracker'!D871)=1,MAX($AB$1:AB830)+1,""))</f>
        <v/>
      </c>
    </row>
    <row r="832" spans="28:28" ht="15" customHeight="1">
      <c r="AB832" t="str">
        <f>IF('Project Tracker'!D872="","",IF(COUNTIF('Project Tracker'!$D$2:D872,'Project Tracker'!D872)=1,MAX($AB$1:AB831)+1,""))</f>
        <v/>
      </c>
    </row>
    <row r="833" spans="28:28" ht="15" customHeight="1">
      <c r="AB833" t="str">
        <f>IF('Project Tracker'!D873="","",IF(COUNTIF('Project Tracker'!$D$2:D873,'Project Tracker'!D873)=1,MAX($AB$1:AB832)+1,""))</f>
        <v/>
      </c>
    </row>
    <row r="834" spans="28:28" ht="15" customHeight="1">
      <c r="AB834" t="str">
        <f>IF('Project Tracker'!D874="","",IF(COUNTIF('Project Tracker'!$D$2:D874,'Project Tracker'!D874)=1,MAX($AB$1:AB833)+1,""))</f>
        <v/>
      </c>
    </row>
    <row r="835" spans="28:28" ht="15" customHeight="1">
      <c r="AB835" t="str">
        <f>IF('Project Tracker'!D875="","",IF(COUNTIF('Project Tracker'!$D$2:D875,'Project Tracker'!D875)=1,MAX($AB$1:AB834)+1,""))</f>
        <v/>
      </c>
    </row>
    <row r="836" spans="28:28" ht="15" customHeight="1">
      <c r="AB836" t="str">
        <f>IF('Project Tracker'!D876="","",IF(COUNTIF('Project Tracker'!$D$2:D876,'Project Tracker'!D876)=1,MAX($AB$1:AB835)+1,""))</f>
        <v/>
      </c>
    </row>
    <row r="837" spans="28:28" ht="15" customHeight="1">
      <c r="AB837" t="str">
        <f>IF('Project Tracker'!D877="","",IF(COUNTIF('Project Tracker'!$D$2:D877,'Project Tracker'!D877)=1,MAX($AB$1:AB836)+1,""))</f>
        <v/>
      </c>
    </row>
    <row r="838" spans="28:28" ht="15" customHeight="1">
      <c r="AB838" t="str">
        <f>IF('Project Tracker'!D878="","",IF(COUNTIF('Project Tracker'!$D$2:D878,'Project Tracker'!D878)=1,MAX($AB$1:AB837)+1,""))</f>
        <v/>
      </c>
    </row>
    <row r="839" spans="28:28" ht="15" customHeight="1">
      <c r="AB839" t="str">
        <f>IF('Project Tracker'!D879="","",IF(COUNTIF('Project Tracker'!$D$2:D879,'Project Tracker'!D879)=1,MAX($AB$1:AB838)+1,""))</f>
        <v/>
      </c>
    </row>
    <row r="840" spans="28:28" ht="15" customHeight="1">
      <c r="AB840" t="str">
        <f>IF('Project Tracker'!D880="","",IF(COUNTIF('Project Tracker'!$D$2:D880,'Project Tracker'!D880)=1,MAX($AB$1:AB839)+1,""))</f>
        <v/>
      </c>
    </row>
    <row r="841" spans="28:28" ht="15" customHeight="1">
      <c r="AB841" t="str">
        <f>IF('Project Tracker'!D881="","",IF(COUNTIF('Project Tracker'!$D$2:D881,'Project Tracker'!D881)=1,MAX($AB$1:AB840)+1,""))</f>
        <v/>
      </c>
    </row>
    <row r="842" spans="28:28" ht="15" customHeight="1">
      <c r="AB842" t="str">
        <f>IF('Project Tracker'!D882="","",IF(COUNTIF('Project Tracker'!$D$2:D882,'Project Tracker'!D882)=1,MAX($AB$1:AB841)+1,""))</f>
        <v/>
      </c>
    </row>
    <row r="843" spans="28:28" ht="15" customHeight="1">
      <c r="AB843" t="str">
        <f>IF('Project Tracker'!D883="","",IF(COUNTIF('Project Tracker'!$D$2:D883,'Project Tracker'!D883)=1,MAX($AB$1:AB842)+1,""))</f>
        <v/>
      </c>
    </row>
    <row r="844" spans="28:28" ht="15" customHeight="1">
      <c r="AB844" t="str">
        <f>IF('Project Tracker'!D884="","",IF(COUNTIF('Project Tracker'!$D$2:D884,'Project Tracker'!D884)=1,MAX($AB$1:AB843)+1,""))</f>
        <v/>
      </c>
    </row>
    <row r="845" spans="28:28" ht="15" customHeight="1">
      <c r="AB845" t="str">
        <f>IF('Project Tracker'!D885="","",IF(COUNTIF('Project Tracker'!$D$2:D885,'Project Tracker'!D885)=1,MAX($AB$1:AB844)+1,""))</f>
        <v/>
      </c>
    </row>
    <row r="846" spans="28:28" ht="15" customHeight="1">
      <c r="AB846" t="str">
        <f>IF('Project Tracker'!D886="","",IF(COUNTIF('Project Tracker'!$D$2:D886,'Project Tracker'!D886)=1,MAX($AB$1:AB845)+1,""))</f>
        <v/>
      </c>
    </row>
    <row r="847" spans="28:28" ht="15" customHeight="1">
      <c r="AB847" t="str">
        <f>IF('Project Tracker'!D887="","",IF(COUNTIF('Project Tracker'!$D$2:D887,'Project Tracker'!D887)=1,MAX($AB$1:AB846)+1,""))</f>
        <v/>
      </c>
    </row>
    <row r="848" spans="28:28" ht="15" customHeight="1">
      <c r="AB848" t="str">
        <f>IF('Project Tracker'!D888="","",IF(COUNTIF('Project Tracker'!$D$2:D888,'Project Tracker'!D888)=1,MAX($AB$1:AB847)+1,""))</f>
        <v/>
      </c>
    </row>
    <row r="849" spans="28:28" ht="15" customHeight="1">
      <c r="AB849" t="str">
        <f>IF('Project Tracker'!D889="","",IF(COUNTIF('Project Tracker'!$D$2:D889,'Project Tracker'!D889)=1,MAX($AB$1:AB848)+1,""))</f>
        <v/>
      </c>
    </row>
    <row r="850" spans="28:28" ht="15" customHeight="1">
      <c r="AB850" t="str">
        <f>IF('Project Tracker'!D890="","",IF(COUNTIF('Project Tracker'!$D$2:D890,'Project Tracker'!D890)=1,MAX($AB$1:AB849)+1,""))</f>
        <v/>
      </c>
    </row>
    <row r="851" spans="28:28" ht="15" customHeight="1">
      <c r="AB851" t="str">
        <f>IF('Project Tracker'!D891="","",IF(COUNTIF('Project Tracker'!$D$2:D891,'Project Tracker'!D891)=1,MAX($AB$1:AB850)+1,""))</f>
        <v/>
      </c>
    </row>
    <row r="852" spans="28:28" ht="15" customHeight="1">
      <c r="AB852" t="str">
        <f>IF('Project Tracker'!D892="","",IF(COUNTIF('Project Tracker'!$D$2:D892,'Project Tracker'!D892)=1,MAX($AB$1:AB851)+1,""))</f>
        <v/>
      </c>
    </row>
    <row r="853" spans="28:28" ht="15" customHeight="1">
      <c r="AB853" t="str">
        <f>IF('Project Tracker'!D893="","",IF(COUNTIF('Project Tracker'!$D$2:D893,'Project Tracker'!D893)=1,MAX($AB$1:AB852)+1,""))</f>
        <v/>
      </c>
    </row>
    <row r="854" spans="28:28" ht="15" customHeight="1">
      <c r="AB854" t="str">
        <f>IF('Project Tracker'!D894="","",IF(COUNTIF('Project Tracker'!$D$2:D894,'Project Tracker'!D894)=1,MAX($AB$1:AB853)+1,""))</f>
        <v/>
      </c>
    </row>
    <row r="855" spans="28:28" ht="15" customHeight="1">
      <c r="AB855" t="str">
        <f>IF('Project Tracker'!D895="","",IF(COUNTIF('Project Tracker'!$D$2:D895,'Project Tracker'!D895)=1,MAX($AB$1:AB854)+1,""))</f>
        <v/>
      </c>
    </row>
    <row r="856" spans="28:28" ht="15" customHeight="1">
      <c r="AB856" t="str">
        <f>IF('Project Tracker'!D896="","",IF(COUNTIF('Project Tracker'!$D$2:D896,'Project Tracker'!D896)=1,MAX($AB$1:AB855)+1,""))</f>
        <v/>
      </c>
    </row>
    <row r="857" spans="28:28" ht="15" customHeight="1">
      <c r="AB857" t="str">
        <f>IF('Project Tracker'!D897="","",IF(COUNTIF('Project Tracker'!$D$2:D897,'Project Tracker'!D897)=1,MAX($AB$1:AB856)+1,""))</f>
        <v/>
      </c>
    </row>
    <row r="858" spans="28:28" ht="15" customHeight="1">
      <c r="AB858" t="str">
        <f>IF('Project Tracker'!D898="","",IF(COUNTIF('Project Tracker'!$D$2:D898,'Project Tracker'!D898)=1,MAX($AB$1:AB857)+1,""))</f>
        <v/>
      </c>
    </row>
    <row r="859" spans="28:28" ht="15" customHeight="1">
      <c r="AB859" t="str">
        <f>IF('Project Tracker'!D899="","",IF(COUNTIF('Project Tracker'!$D$2:D899,'Project Tracker'!D899)=1,MAX($AB$1:AB858)+1,""))</f>
        <v/>
      </c>
    </row>
    <row r="860" spans="28:28" ht="15" customHeight="1">
      <c r="AB860" t="str">
        <f>IF('Project Tracker'!D900="","",IF(COUNTIF('Project Tracker'!$D$2:D900,'Project Tracker'!D900)=1,MAX($AB$1:AB859)+1,""))</f>
        <v/>
      </c>
    </row>
    <row r="861" spans="28:28" ht="15" customHeight="1">
      <c r="AB861" t="str">
        <f>IF('Project Tracker'!D901="","",IF(COUNTIF('Project Tracker'!$D$2:D901,'Project Tracker'!D901)=1,MAX($AB$1:AB860)+1,""))</f>
        <v/>
      </c>
    </row>
    <row r="862" spans="28:28" ht="15" customHeight="1">
      <c r="AB862" t="str">
        <f>IF('Project Tracker'!D902="","",IF(COUNTIF('Project Tracker'!$D$2:D902,'Project Tracker'!D902)=1,MAX($AB$1:AB861)+1,""))</f>
        <v/>
      </c>
    </row>
    <row r="863" spans="28:28" ht="15" customHeight="1">
      <c r="AB863" t="str">
        <f>IF('Project Tracker'!D903="","",IF(COUNTIF('Project Tracker'!$D$2:D903,'Project Tracker'!D903)=1,MAX($AB$1:AB862)+1,""))</f>
        <v/>
      </c>
    </row>
    <row r="864" spans="28:28" ht="15" customHeight="1">
      <c r="AB864" t="str">
        <f>IF('Project Tracker'!D904="","",IF(COUNTIF('Project Tracker'!$D$2:D904,'Project Tracker'!D904)=1,MAX($AB$1:AB863)+1,""))</f>
        <v/>
      </c>
    </row>
    <row r="865" spans="28:28" ht="15" customHeight="1">
      <c r="AB865" t="str">
        <f>IF('Project Tracker'!D905="","",IF(COUNTIF('Project Tracker'!$D$2:D905,'Project Tracker'!D905)=1,MAX($AB$1:AB864)+1,""))</f>
        <v/>
      </c>
    </row>
    <row r="866" spans="28:28" ht="15" customHeight="1">
      <c r="AB866" t="str">
        <f>IF('Project Tracker'!D906="","",IF(COUNTIF('Project Tracker'!$D$2:D906,'Project Tracker'!D906)=1,MAX($AB$1:AB865)+1,""))</f>
        <v/>
      </c>
    </row>
    <row r="867" spans="28:28" ht="15" customHeight="1">
      <c r="AB867" t="str">
        <f>IF('Project Tracker'!D907="","",IF(COUNTIF('Project Tracker'!$D$2:D907,'Project Tracker'!D907)=1,MAX($AB$1:AB866)+1,""))</f>
        <v/>
      </c>
    </row>
    <row r="868" spans="28:28" ht="15" customHeight="1">
      <c r="AB868" t="str">
        <f>IF('Project Tracker'!D908="","",IF(COUNTIF('Project Tracker'!$D$2:D908,'Project Tracker'!D908)=1,MAX($AB$1:AB867)+1,""))</f>
        <v/>
      </c>
    </row>
    <row r="869" spans="28:28" ht="15" customHeight="1">
      <c r="AB869" t="str">
        <f>IF('Project Tracker'!D909="","",IF(COUNTIF('Project Tracker'!$D$2:D909,'Project Tracker'!D909)=1,MAX($AB$1:AB868)+1,""))</f>
        <v/>
      </c>
    </row>
    <row r="870" spans="28:28" ht="15" customHeight="1">
      <c r="AB870" t="str">
        <f>IF('Project Tracker'!D910="","",IF(COUNTIF('Project Tracker'!$D$2:D910,'Project Tracker'!D910)=1,MAX($AB$1:AB869)+1,""))</f>
        <v/>
      </c>
    </row>
    <row r="871" spans="28:28" ht="15" customHeight="1">
      <c r="AB871" t="str">
        <f>IF('Project Tracker'!D911="","",IF(COUNTIF('Project Tracker'!$D$2:D911,'Project Tracker'!D911)=1,MAX($AB$1:AB870)+1,""))</f>
        <v/>
      </c>
    </row>
    <row r="872" spans="28:28" ht="15" customHeight="1">
      <c r="AB872" t="str">
        <f>IF('Project Tracker'!D912="","",IF(COUNTIF('Project Tracker'!$D$2:D912,'Project Tracker'!D912)=1,MAX($AB$1:AB871)+1,""))</f>
        <v/>
      </c>
    </row>
    <row r="873" spans="28:28" ht="15" customHeight="1">
      <c r="AB873" t="str">
        <f>IF('Project Tracker'!D913="","",IF(COUNTIF('Project Tracker'!$D$2:D913,'Project Tracker'!D913)=1,MAX($AB$1:AB872)+1,""))</f>
        <v/>
      </c>
    </row>
    <row r="874" spans="28:28" ht="15" customHeight="1">
      <c r="AB874" t="str">
        <f>IF('Project Tracker'!D914="","",IF(COUNTIF('Project Tracker'!$D$2:D914,'Project Tracker'!D914)=1,MAX($AB$1:AB873)+1,""))</f>
        <v/>
      </c>
    </row>
    <row r="875" spans="28:28" ht="15" customHeight="1">
      <c r="AB875" t="str">
        <f>IF('Project Tracker'!D915="","",IF(COUNTIF('Project Tracker'!$D$2:D915,'Project Tracker'!D915)=1,MAX($AB$1:AB874)+1,""))</f>
        <v/>
      </c>
    </row>
    <row r="876" spans="28:28" ht="15" customHeight="1">
      <c r="AB876" t="str">
        <f>IF('Project Tracker'!D916="","",IF(COUNTIF('Project Tracker'!$D$2:D916,'Project Tracker'!D916)=1,MAX($AB$1:AB875)+1,""))</f>
        <v/>
      </c>
    </row>
    <row r="877" spans="28:28" ht="15" customHeight="1">
      <c r="AB877" t="str">
        <f>IF('Project Tracker'!D917="","",IF(COUNTIF('Project Tracker'!$D$2:D917,'Project Tracker'!D917)=1,MAX($AB$1:AB876)+1,""))</f>
        <v/>
      </c>
    </row>
    <row r="878" spans="28:28" ht="15" customHeight="1">
      <c r="AB878" t="str">
        <f>IF('Project Tracker'!D918="","",IF(COUNTIF('Project Tracker'!$D$2:D918,'Project Tracker'!D918)=1,MAX($AB$1:AB877)+1,""))</f>
        <v/>
      </c>
    </row>
    <row r="879" spans="28:28" ht="15" customHeight="1">
      <c r="AB879" t="str">
        <f>IF('Project Tracker'!D919="","",IF(COUNTIF('Project Tracker'!$D$2:D919,'Project Tracker'!D919)=1,MAX($AB$1:AB878)+1,""))</f>
        <v/>
      </c>
    </row>
    <row r="880" spans="28:28" ht="15" customHeight="1">
      <c r="AB880" t="str">
        <f>IF('Project Tracker'!D920="","",IF(COUNTIF('Project Tracker'!$D$2:D920,'Project Tracker'!D920)=1,MAX($AB$1:AB879)+1,""))</f>
        <v/>
      </c>
    </row>
    <row r="881" spans="28:28" ht="15" customHeight="1">
      <c r="AB881" t="str">
        <f>IF('Project Tracker'!D921="","",IF(COUNTIF('Project Tracker'!$D$2:D921,'Project Tracker'!D921)=1,MAX($AB$1:AB880)+1,""))</f>
        <v/>
      </c>
    </row>
    <row r="882" spans="28:28" ht="15" customHeight="1">
      <c r="AB882" t="str">
        <f>IF('Project Tracker'!D922="","",IF(COUNTIF('Project Tracker'!$D$2:D922,'Project Tracker'!D922)=1,MAX($AB$1:AB881)+1,""))</f>
        <v/>
      </c>
    </row>
    <row r="883" spans="28:28" ht="15" customHeight="1">
      <c r="AB883" t="str">
        <f>IF('Project Tracker'!D923="","",IF(COUNTIF('Project Tracker'!$D$2:D923,'Project Tracker'!D923)=1,MAX($AB$1:AB882)+1,""))</f>
        <v/>
      </c>
    </row>
    <row r="884" spans="28:28" ht="15" customHeight="1">
      <c r="AB884" t="str">
        <f>IF('Project Tracker'!D924="","",IF(COUNTIF('Project Tracker'!$D$2:D924,'Project Tracker'!D924)=1,MAX($AB$1:AB883)+1,""))</f>
        <v/>
      </c>
    </row>
    <row r="885" spans="28:28" ht="15" customHeight="1">
      <c r="AB885" t="str">
        <f>IF('Project Tracker'!D925="","",IF(COUNTIF('Project Tracker'!$D$2:D925,'Project Tracker'!D925)=1,MAX($AB$1:AB884)+1,""))</f>
        <v/>
      </c>
    </row>
    <row r="886" spans="28:28" ht="15" customHeight="1">
      <c r="AB886" t="str">
        <f>IF('Project Tracker'!D926="","",IF(COUNTIF('Project Tracker'!$D$2:D926,'Project Tracker'!D926)=1,MAX($AB$1:AB885)+1,""))</f>
        <v/>
      </c>
    </row>
    <row r="887" spans="28:28" ht="15" customHeight="1">
      <c r="AB887" t="str">
        <f>IF('Project Tracker'!D927="","",IF(COUNTIF('Project Tracker'!$D$2:D927,'Project Tracker'!D927)=1,MAX($AB$1:AB886)+1,""))</f>
        <v/>
      </c>
    </row>
    <row r="888" spans="28:28" ht="15" customHeight="1">
      <c r="AB888" t="str">
        <f>IF('Project Tracker'!D928="","",IF(COUNTIF('Project Tracker'!$D$2:D928,'Project Tracker'!D928)=1,MAX($AB$1:AB887)+1,""))</f>
        <v/>
      </c>
    </row>
    <row r="889" spans="28:28" ht="15" customHeight="1">
      <c r="AB889" t="str">
        <f>IF('Project Tracker'!D929="","",IF(COUNTIF('Project Tracker'!$D$2:D929,'Project Tracker'!D929)=1,MAX($AB$1:AB888)+1,""))</f>
        <v/>
      </c>
    </row>
    <row r="890" spans="28:28" ht="15" customHeight="1">
      <c r="AB890" t="str">
        <f>IF('Project Tracker'!D930="","",IF(COUNTIF('Project Tracker'!$D$2:D930,'Project Tracker'!D930)=1,MAX($AB$1:AB889)+1,""))</f>
        <v/>
      </c>
    </row>
    <row r="891" spans="28:28" ht="15" customHeight="1">
      <c r="AB891" t="str">
        <f>IF('Project Tracker'!D931="","",IF(COUNTIF('Project Tracker'!$D$2:D931,'Project Tracker'!D931)=1,MAX($AB$1:AB890)+1,""))</f>
        <v/>
      </c>
    </row>
    <row r="892" spans="28:28" ht="15" customHeight="1">
      <c r="AB892" t="str">
        <f>IF('Project Tracker'!D932="","",IF(COUNTIF('Project Tracker'!$D$2:D932,'Project Tracker'!D932)=1,MAX($AB$1:AB891)+1,""))</f>
        <v/>
      </c>
    </row>
    <row r="893" spans="28:28" ht="15" customHeight="1">
      <c r="AB893" t="str">
        <f>IF('Project Tracker'!D933="","",IF(COUNTIF('Project Tracker'!$D$2:D933,'Project Tracker'!D933)=1,MAX($AB$1:AB892)+1,""))</f>
        <v/>
      </c>
    </row>
    <row r="894" spans="28:28" ht="15" customHeight="1">
      <c r="AB894" t="str">
        <f>IF('Project Tracker'!D934="","",IF(COUNTIF('Project Tracker'!$D$2:D934,'Project Tracker'!D934)=1,MAX($AB$1:AB893)+1,""))</f>
        <v/>
      </c>
    </row>
    <row r="895" spans="28:28" ht="15" customHeight="1">
      <c r="AB895" t="str">
        <f>IF('Project Tracker'!D935="","",IF(COUNTIF('Project Tracker'!$D$2:D935,'Project Tracker'!D935)=1,MAX($AB$1:AB894)+1,""))</f>
        <v/>
      </c>
    </row>
    <row r="896" spans="28:28" ht="15" customHeight="1">
      <c r="AB896" t="str">
        <f>IF('Project Tracker'!D936="","",IF(COUNTIF('Project Tracker'!$D$2:D936,'Project Tracker'!D936)=1,MAX($AB$1:AB895)+1,""))</f>
        <v/>
      </c>
    </row>
    <row r="897" spans="28:28" ht="15" customHeight="1">
      <c r="AB897" t="str">
        <f>IF('Project Tracker'!D937="","",IF(COUNTIF('Project Tracker'!$D$2:D937,'Project Tracker'!D937)=1,MAX($AB$1:AB896)+1,""))</f>
        <v/>
      </c>
    </row>
    <row r="898" spans="28:28" ht="15" customHeight="1">
      <c r="AB898" t="str">
        <f>IF('Project Tracker'!D938="","",IF(COUNTIF('Project Tracker'!$D$2:D938,'Project Tracker'!D938)=1,MAX($AB$1:AB897)+1,""))</f>
        <v/>
      </c>
    </row>
    <row r="899" spans="28:28" ht="15" customHeight="1">
      <c r="AB899" t="str">
        <f>IF('Project Tracker'!D939="","",IF(COUNTIF('Project Tracker'!$D$2:D939,'Project Tracker'!D939)=1,MAX($AB$1:AB898)+1,""))</f>
        <v/>
      </c>
    </row>
    <row r="900" spans="28:28" ht="15" customHeight="1">
      <c r="AB900" t="str">
        <f>IF('Project Tracker'!D940="","",IF(COUNTIF('Project Tracker'!$D$2:D940,'Project Tracker'!D940)=1,MAX($AB$1:AB899)+1,""))</f>
        <v/>
      </c>
    </row>
    <row r="901" spans="28:28" ht="15" customHeight="1">
      <c r="AB901" t="str">
        <f>IF('Project Tracker'!D941="","",IF(COUNTIF('Project Tracker'!$D$2:D941,'Project Tracker'!D941)=1,MAX($AB$1:AB900)+1,""))</f>
        <v/>
      </c>
    </row>
    <row r="902" spans="28:28" ht="15" customHeight="1">
      <c r="AB902" t="str">
        <f>IF('Project Tracker'!D942="","",IF(COUNTIF('Project Tracker'!$D$2:D942,'Project Tracker'!D942)=1,MAX($AB$1:AB901)+1,""))</f>
        <v/>
      </c>
    </row>
    <row r="903" spans="28:28" ht="15" customHeight="1">
      <c r="AB903" t="str">
        <f>IF('Project Tracker'!D943="","",IF(COUNTIF('Project Tracker'!$D$2:D943,'Project Tracker'!D943)=1,MAX($AB$1:AB902)+1,""))</f>
        <v/>
      </c>
    </row>
    <row r="904" spans="28:28" ht="15" customHeight="1">
      <c r="AB904" t="str">
        <f>IF('Project Tracker'!D944="","",IF(COUNTIF('Project Tracker'!$D$2:D944,'Project Tracker'!D944)=1,MAX($AB$1:AB903)+1,""))</f>
        <v/>
      </c>
    </row>
    <row r="905" spans="28:28" ht="15" customHeight="1">
      <c r="AB905" t="str">
        <f>IF('Project Tracker'!D945="","",IF(COUNTIF('Project Tracker'!$D$2:D945,'Project Tracker'!D945)=1,MAX($AB$1:AB904)+1,""))</f>
        <v/>
      </c>
    </row>
    <row r="906" spans="28:28" ht="15" customHeight="1">
      <c r="AB906" t="str">
        <f>IF('Project Tracker'!D946="","",IF(COUNTIF('Project Tracker'!$D$2:D946,'Project Tracker'!D946)=1,MAX($AB$1:AB905)+1,""))</f>
        <v/>
      </c>
    </row>
    <row r="907" spans="28:28" ht="15" customHeight="1">
      <c r="AB907" t="str">
        <f>IF('Project Tracker'!D947="","",IF(COUNTIF('Project Tracker'!$D$2:D947,'Project Tracker'!D947)=1,MAX($AB$1:AB906)+1,""))</f>
        <v/>
      </c>
    </row>
    <row r="908" spans="28:28" ht="15" customHeight="1">
      <c r="AB908" t="str">
        <f>IF('Project Tracker'!D948="","",IF(COUNTIF('Project Tracker'!$D$2:D948,'Project Tracker'!D948)=1,MAX($AB$1:AB907)+1,""))</f>
        <v/>
      </c>
    </row>
    <row r="909" spans="28:28" ht="15" customHeight="1">
      <c r="AB909" t="str">
        <f>IF('Project Tracker'!D949="","",IF(COUNTIF('Project Tracker'!$D$2:D949,'Project Tracker'!D949)=1,MAX($AB$1:AB908)+1,""))</f>
        <v/>
      </c>
    </row>
    <row r="910" spans="28:28" ht="15" customHeight="1">
      <c r="AB910" t="str">
        <f>IF('Project Tracker'!D950="","",IF(COUNTIF('Project Tracker'!$D$2:D950,'Project Tracker'!D950)=1,MAX($AB$1:AB909)+1,""))</f>
        <v/>
      </c>
    </row>
    <row r="911" spans="28:28" ht="15" customHeight="1">
      <c r="AB911" t="str">
        <f>IF('Project Tracker'!D951="","",IF(COUNTIF('Project Tracker'!$D$2:D951,'Project Tracker'!D951)=1,MAX($AB$1:AB910)+1,""))</f>
        <v/>
      </c>
    </row>
    <row r="912" spans="28:28" ht="15" customHeight="1">
      <c r="AB912" t="str">
        <f>IF('Project Tracker'!D952="","",IF(COUNTIF('Project Tracker'!$D$2:D952,'Project Tracker'!D952)=1,MAX($AB$1:AB911)+1,""))</f>
        <v/>
      </c>
    </row>
    <row r="913" spans="28:28" ht="15" customHeight="1">
      <c r="AB913" t="str">
        <f>IF('Project Tracker'!D953="","",IF(COUNTIF('Project Tracker'!$D$2:D953,'Project Tracker'!D953)=1,MAX($AB$1:AB912)+1,""))</f>
        <v/>
      </c>
    </row>
    <row r="914" spans="28:28" ht="15" customHeight="1">
      <c r="AB914" t="str">
        <f>IF('Project Tracker'!D954="","",IF(COUNTIF('Project Tracker'!$D$2:D954,'Project Tracker'!D954)=1,MAX($AB$1:AB913)+1,""))</f>
        <v/>
      </c>
    </row>
    <row r="915" spans="28:28" ht="15" customHeight="1">
      <c r="AB915" t="str">
        <f>IF('Project Tracker'!D955="","",IF(COUNTIF('Project Tracker'!$D$2:D955,'Project Tracker'!D955)=1,MAX($AB$1:AB914)+1,""))</f>
        <v/>
      </c>
    </row>
    <row r="916" spans="28:28" ht="15" customHeight="1">
      <c r="AB916" t="str">
        <f>IF('Project Tracker'!D956="","",IF(COUNTIF('Project Tracker'!$D$2:D956,'Project Tracker'!D956)=1,MAX($AB$1:AB915)+1,""))</f>
        <v/>
      </c>
    </row>
    <row r="917" spans="28:28" ht="15" customHeight="1">
      <c r="AB917" t="str">
        <f>IF('Project Tracker'!D957="","",IF(COUNTIF('Project Tracker'!$D$2:D957,'Project Tracker'!D957)=1,MAX($AB$1:AB916)+1,""))</f>
        <v/>
      </c>
    </row>
    <row r="918" spans="28:28" ht="15" customHeight="1">
      <c r="AB918" t="str">
        <f>IF('Project Tracker'!D958="","",IF(COUNTIF('Project Tracker'!$D$2:D958,'Project Tracker'!D958)=1,MAX($AB$1:AB917)+1,""))</f>
        <v/>
      </c>
    </row>
    <row r="919" spans="28:28" ht="15" customHeight="1">
      <c r="AB919" t="str">
        <f>IF('Project Tracker'!D959="","",IF(COUNTIF('Project Tracker'!$D$2:D959,'Project Tracker'!D959)=1,MAX($AB$1:AB918)+1,""))</f>
        <v/>
      </c>
    </row>
    <row r="920" spans="28:28" ht="15" customHeight="1">
      <c r="AB920" t="str">
        <f>IF('Project Tracker'!D960="","",IF(COUNTIF('Project Tracker'!$D$2:D960,'Project Tracker'!D960)=1,MAX($AB$1:AB919)+1,""))</f>
        <v/>
      </c>
    </row>
    <row r="921" spans="28:28" ht="15" customHeight="1">
      <c r="AB921" t="str">
        <f>IF('Project Tracker'!D961="","",IF(COUNTIF('Project Tracker'!$D$2:D961,'Project Tracker'!D961)=1,MAX($AB$1:AB920)+1,""))</f>
        <v/>
      </c>
    </row>
    <row r="922" spans="28:28" ht="15" customHeight="1">
      <c r="AB922" t="str">
        <f>IF('Project Tracker'!D962="","",IF(COUNTIF('Project Tracker'!$D$2:D962,'Project Tracker'!D962)=1,MAX($AB$1:AB921)+1,""))</f>
        <v/>
      </c>
    </row>
    <row r="923" spans="28:28" ht="15" customHeight="1">
      <c r="AB923" t="str">
        <f>IF('Project Tracker'!D963="","",IF(COUNTIF('Project Tracker'!$D$2:D963,'Project Tracker'!D963)=1,MAX($AB$1:AB922)+1,""))</f>
        <v/>
      </c>
    </row>
    <row r="924" spans="28:28" ht="15" customHeight="1">
      <c r="AB924" t="str">
        <f>IF('Project Tracker'!D964="","",IF(COUNTIF('Project Tracker'!$D$2:D964,'Project Tracker'!D964)=1,MAX($AB$1:AB923)+1,""))</f>
        <v/>
      </c>
    </row>
    <row r="925" spans="28:28" ht="15" customHeight="1">
      <c r="AB925" t="str">
        <f>IF('Project Tracker'!D965="","",IF(COUNTIF('Project Tracker'!$D$2:D965,'Project Tracker'!D965)=1,MAX($AB$1:AB924)+1,""))</f>
        <v/>
      </c>
    </row>
    <row r="926" spans="28:28" ht="15" customHeight="1">
      <c r="AB926" t="str">
        <f>IF('Project Tracker'!D966="","",IF(COUNTIF('Project Tracker'!$D$2:D966,'Project Tracker'!D966)=1,MAX($AB$1:AB925)+1,""))</f>
        <v/>
      </c>
    </row>
    <row r="927" spans="28:28" ht="15" customHeight="1">
      <c r="AB927" t="str">
        <f>IF('Project Tracker'!D967="","",IF(COUNTIF('Project Tracker'!$D$2:D967,'Project Tracker'!D967)=1,MAX($AB$1:AB926)+1,""))</f>
        <v/>
      </c>
    </row>
    <row r="928" spans="28:28" ht="15" customHeight="1">
      <c r="AB928" t="str">
        <f>IF('Project Tracker'!D968="","",IF(COUNTIF('Project Tracker'!$D$2:D968,'Project Tracker'!D968)=1,MAX($AB$1:AB927)+1,""))</f>
        <v/>
      </c>
    </row>
    <row r="929" spans="28:28" ht="15" customHeight="1">
      <c r="AB929" t="str">
        <f>IF('Project Tracker'!D969="","",IF(COUNTIF('Project Tracker'!$D$2:D969,'Project Tracker'!D969)=1,MAX($AB$1:AB928)+1,""))</f>
        <v/>
      </c>
    </row>
    <row r="930" spans="28:28" ht="15" customHeight="1">
      <c r="AB930" t="str">
        <f>IF('Project Tracker'!D970="","",IF(COUNTIF('Project Tracker'!$D$2:D970,'Project Tracker'!D970)=1,MAX($AB$1:AB929)+1,""))</f>
        <v/>
      </c>
    </row>
    <row r="931" spans="28:28" ht="15" customHeight="1">
      <c r="AB931" t="str">
        <f>IF('Project Tracker'!D971="","",IF(COUNTIF('Project Tracker'!$D$2:D971,'Project Tracker'!D971)=1,MAX($AB$1:AB930)+1,""))</f>
        <v/>
      </c>
    </row>
    <row r="932" spans="28:28" ht="15" customHeight="1">
      <c r="AB932" t="str">
        <f>IF('Project Tracker'!D972="","",IF(COUNTIF('Project Tracker'!$D$2:D972,'Project Tracker'!D972)=1,MAX($AB$1:AB931)+1,""))</f>
        <v/>
      </c>
    </row>
    <row r="933" spans="28:28" ht="15" customHeight="1">
      <c r="AB933" t="str">
        <f>IF('Project Tracker'!D973="","",IF(COUNTIF('Project Tracker'!$D$2:D973,'Project Tracker'!D973)=1,MAX($AB$1:AB932)+1,""))</f>
        <v/>
      </c>
    </row>
    <row r="934" spans="28:28" ht="15" customHeight="1">
      <c r="AB934" t="str">
        <f>IF('Project Tracker'!D974="","",IF(COUNTIF('Project Tracker'!$D$2:D974,'Project Tracker'!D974)=1,MAX($AB$1:AB933)+1,""))</f>
        <v/>
      </c>
    </row>
    <row r="935" spans="28:28" ht="15" customHeight="1">
      <c r="AB935" t="str">
        <f>IF('Project Tracker'!D975="","",IF(COUNTIF('Project Tracker'!$D$2:D975,'Project Tracker'!D975)=1,MAX($AB$1:AB934)+1,""))</f>
        <v/>
      </c>
    </row>
    <row r="936" spans="28:28" ht="15" customHeight="1">
      <c r="AB936" t="str">
        <f>IF('Project Tracker'!D976="","",IF(COUNTIF('Project Tracker'!$D$2:D976,'Project Tracker'!D976)=1,MAX($AB$1:AB935)+1,""))</f>
        <v/>
      </c>
    </row>
    <row r="937" spans="28:28" ht="15" customHeight="1">
      <c r="AB937" t="str">
        <f>IF('Project Tracker'!D977="","",IF(COUNTIF('Project Tracker'!$D$2:D977,'Project Tracker'!D977)=1,MAX($AB$1:AB936)+1,""))</f>
        <v/>
      </c>
    </row>
    <row r="938" spans="28:28" ht="15" customHeight="1">
      <c r="AB938" t="str">
        <f>IF('Project Tracker'!D978="","",IF(COUNTIF('Project Tracker'!$D$2:D978,'Project Tracker'!D978)=1,MAX($AB$1:AB937)+1,""))</f>
        <v/>
      </c>
    </row>
    <row r="939" spans="28:28" ht="15" customHeight="1">
      <c r="AB939" t="str">
        <f>IF('Project Tracker'!D979="","",IF(COUNTIF('Project Tracker'!$D$2:D979,'Project Tracker'!D979)=1,MAX($AB$1:AB938)+1,""))</f>
        <v/>
      </c>
    </row>
    <row r="940" spans="28:28" ht="15" customHeight="1">
      <c r="AB940" t="str">
        <f>IF('Project Tracker'!D980="","",IF(COUNTIF('Project Tracker'!$D$2:D980,'Project Tracker'!D980)=1,MAX($AB$1:AB939)+1,""))</f>
        <v/>
      </c>
    </row>
    <row r="941" spans="28:28" ht="15" customHeight="1">
      <c r="AB941" t="str">
        <f>IF('Project Tracker'!D981="","",IF(COUNTIF('Project Tracker'!$D$2:D981,'Project Tracker'!D981)=1,MAX($AB$1:AB940)+1,""))</f>
        <v/>
      </c>
    </row>
    <row r="942" spans="28:28" ht="15" customHeight="1">
      <c r="AB942" t="str">
        <f>IF('Project Tracker'!D982="","",IF(COUNTIF('Project Tracker'!$D$2:D982,'Project Tracker'!D982)=1,MAX($AB$1:AB941)+1,""))</f>
        <v/>
      </c>
    </row>
    <row r="943" spans="28:28" ht="15" customHeight="1">
      <c r="AB943" t="str">
        <f>IF('Project Tracker'!D983="","",IF(COUNTIF('Project Tracker'!$D$2:D983,'Project Tracker'!D983)=1,MAX($AB$1:AB942)+1,""))</f>
        <v/>
      </c>
    </row>
    <row r="944" spans="28:28" ht="15" customHeight="1">
      <c r="AB944" t="str">
        <f>IF('Project Tracker'!D984="","",IF(COUNTIF('Project Tracker'!$D$2:D984,'Project Tracker'!D984)=1,MAX($AB$1:AB943)+1,""))</f>
        <v/>
      </c>
    </row>
    <row r="945" spans="28:28" ht="15" customHeight="1">
      <c r="AB945" t="str">
        <f>IF('Project Tracker'!D985="","",IF(COUNTIF('Project Tracker'!$D$2:D985,'Project Tracker'!D985)=1,MAX($AB$1:AB944)+1,""))</f>
        <v/>
      </c>
    </row>
    <row r="946" spans="28:28" ht="15" customHeight="1">
      <c r="AB946" t="str">
        <f>IF('Project Tracker'!D986="","",IF(COUNTIF('Project Tracker'!$D$2:D986,'Project Tracker'!D986)=1,MAX($AB$1:AB945)+1,""))</f>
        <v/>
      </c>
    </row>
    <row r="947" spans="28:28" ht="15" customHeight="1">
      <c r="AB947" t="str">
        <f>IF('Project Tracker'!D987="","",IF(COUNTIF('Project Tracker'!$D$2:D987,'Project Tracker'!D987)=1,MAX($AB$1:AB946)+1,""))</f>
        <v/>
      </c>
    </row>
    <row r="948" spans="28:28" ht="15" customHeight="1">
      <c r="AB948" t="str">
        <f>IF('Project Tracker'!D988="","",IF(COUNTIF('Project Tracker'!$D$2:D988,'Project Tracker'!D988)=1,MAX($AB$1:AB947)+1,""))</f>
        <v/>
      </c>
    </row>
    <row r="949" spans="28:28" ht="15" customHeight="1">
      <c r="AB949" t="str">
        <f>IF('Project Tracker'!D989="","",IF(COUNTIF('Project Tracker'!$D$2:D989,'Project Tracker'!D989)=1,MAX($AB$1:AB948)+1,""))</f>
        <v/>
      </c>
    </row>
    <row r="950" spans="28:28" ht="15" customHeight="1">
      <c r="AB950" t="str">
        <f>IF('Project Tracker'!D990="","",IF(COUNTIF('Project Tracker'!$D$2:D990,'Project Tracker'!D990)=1,MAX($AB$1:AB949)+1,""))</f>
        <v/>
      </c>
    </row>
    <row r="951" spans="28:28" ht="15" customHeight="1">
      <c r="AB951" t="str">
        <f>IF('Project Tracker'!D991="","",IF(COUNTIF('Project Tracker'!$D$2:D991,'Project Tracker'!D991)=1,MAX($AB$1:AB950)+1,""))</f>
        <v/>
      </c>
    </row>
    <row r="952" spans="28:28" ht="15" customHeight="1">
      <c r="AB952" t="str">
        <f>IF('Project Tracker'!D992="","",IF(COUNTIF('Project Tracker'!$D$2:D992,'Project Tracker'!D992)=1,MAX($AB$1:AB951)+1,""))</f>
        <v/>
      </c>
    </row>
    <row r="953" spans="28:28" ht="15" customHeight="1">
      <c r="AB953" t="str">
        <f>IF('Project Tracker'!D993="","",IF(COUNTIF('Project Tracker'!$D$2:D993,'Project Tracker'!D993)=1,MAX($AB$1:AB952)+1,""))</f>
        <v/>
      </c>
    </row>
    <row r="954" spans="28:28" ht="15" customHeight="1">
      <c r="AB954" t="str">
        <f>IF('Project Tracker'!D994="","",IF(COUNTIF('Project Tracker'!$D$2:D994,'Project Tracker'!D994)=1,MAX($AB$1:AB953)+1,""))</f>
        <v/>
      </c>
    </row>
    <row r="955" spans="28:28" ht="15" customHeight="1">
      <c r="AB955" t="str">
        <f>IF('Project Tracker'!D995="","",IF(COUNTIF('Project Tracker'!$D$2:D995,'Project Tracker'!D995)=1,MAX($AB$1:AB954)+1,""))</f>
        <v/>
      </c>
    </row>
    <row r="956" spans="28:28" ht="15" customHeight="1">
      <c r="AB956" t="str">
        <f>IF('Project Tracker'!D996="","",IF(COUNTIF('Project Tracker'!$D$2:D996,'Project Tracker'!D996)=1,MAX($AB$1:AB955)+1,""))</f>
        <v/>
      </c>
    </row>
    <row r="957" spans="28:28" ht="15" customHeight="1">
      <c r="AB957" t="str">
        <f>IF('Project Tracker'!D997="","",IF(COUNTIF('Project Tracker'!$D$2:D997,'Project Tracker'!D997)=1,MAX($AB$1:AB956)+1,""))</f>
        <v/>
      </c>
    </row>
    <row r="958" spans="28:28" ht="15" customHeight="1">
      <c r="AB958" t="str">
        <f>IF('Project Tracker'!D998="","",IF(COUNTIF('Project Tracker'!$D$2:D998,'Project Tracker'!D998)=1,MAX($AB$1:AB957)+1,""))</f>
        <v/>
      </c>
    </row>
    <row r="959" spans="28:28" ht="15" customHeight="1">
      <c r="AB959" t="str">
        <f>IF('Project Tracker'!D999="","",IF(COUNTIF('Project Tracker'!$D$2:D999,'Project Tracker'!D999)=1,MAX($AB$1:AB958)+1,""))</f>
        <v/>
      </c>
    </row>
    <row r="960" spans="28:28" ht="15" customHeight="1">
      <c r="AB960" t="str">
        <f>IF('Project Tracker'!D1000="","",IF(COUNTIF('Project Tracker'!$D$2:D1000,'Project Tracker'!D1000)=1,MAX($AB$1:AB959)+1,""))</f>
        <v/>
      </c>
    </row>
    <row r="961" spans="28:28" ht="15" customHeight="1">
      <c r="AB961" t="str">
        <f>IF('Project Tracker'!D1001="","",IF(COUNTIF('Project Tracker'!$D$2:D1001,'Project Tracker'!D1001)=1,MAX($AB$1:AB960)+1,""))</f>
        <v/>
      </c>
    </row>
    <row r="962" spans="28:28" ht="15" customHeight="1">
      <c r="AB962" t="str">
        <f>IF('Project Tracker'!D1002="","",IF(COUNTIF('Project Tracker'!$D$2:D1002,'Project Tracker'!D1002)=1,MAX($AB$1:AB961)+1,""))</f>
        <v/>
      </c>
    </row>
    <row r="963" spans="28:28" ht="15" customHeight="1">
      <c r="AB963" t="str">
        <f>IF('Project Tracker'!D1003="","",IF(COUNTIF('Project Tracker'!$D$2:D1003,'Project Tracker'!D1003)=1,MAX($AB$1:AB962)+1,""))</f>
        <v/>
      </c>
    </row>
    <row r="964" spans="28:28" ht="15" customHeight="1">
      <c r="AB964" t="str">
        <f>IF('Project Tracker'!D1004="","",IF(COUNTIF('Project Tracker'!$D$2:D1004,'Project Tracker'!D1004)=1,MAX($AB$1:AB963)+1,""))</f>
        <v/>
      </c>
    </row>
    <row r="965" spans="28:28" ht="15" customHeight="1">
      <c r="AB965" t="str">
        <f>IF('Project Tracker'!D1005="","",IF(COUNTIF('Project Tracker'!$D$2:D1005,'Project Tracker'!D1005)=1,MAX($AB$1:AB964)+1,""))</f>
        <v/>
      </c>
    </row>
    <row r="966" spans="28:28" ht="15" customHeight="1">
      <c r="AB966" t="str">
        <f>IF('Project Tracker'!D1006="","",IF(COUNTIF('Project Tracker'!$D$2:D1006,'Project Tracker'!D1006)=1,MAX($AB$1:AB965)+1,""))</f>
        <v/>
      </c>
    </row>
    <row r="967" spans="28:28" ht="15" customHeight="1">
      <c r="AB967" t="str">
        <f>IF('Project Tracker'!D1007="","",IF(COUNTIF('Project Tracker'!$D$2:D1007,'Project Tracker'!D1007)=1,MAX($AB$1:AB966)+1,""))</f>
        <v/>
      </c>
    </row>
    <row r="968" spans="28:28" ht="15" customHeight="1">
      <c r="AB968" t="str">
        <f>IF('Project Tracker'!D1008="","",IF(COUNTIF('Project Tracker'!$D$2:D1008,'Project Tracker'!D1008)=1,MAX($AB$1:AB967)+1,""))</f>
        <v/>
      </c>
    </row>
    <row r="969" spans="28:28" ht="15" customHeight="1">
      <c r="AB969" t="str">
        <f>IF('Project Tracker'!D1009="","",IF(COUNTIF('Project Tracker'!$D$2:D1009,'Project Tracker'!D1009)=1,MAX($AB$1:AB968)+1,""))</f>
        <v/>
      </c>
    </row>
    <row r="970" spans="28:28" ht="15" customHeight="1">
      <c r="AB970" t="str">
        <f>IF('Project Tracker'!D1010="","",IF(COUNTIF('Project Tracker'!$D$2:D1010,'Project Tracker'!D1010)=1,MAX($AB$1:AB969)+1,""))</f>
        <v/>
      </c>
    </row>
    <row r="971" spans="28:28" ht="15" customHeight="1">
      <c r="AB971" t="str">
        <f>IF('Project Tracker'!D1011="","",IF(COUNTIF('Project Tracker'!$D$2:D1011,'Project Tracker'!D1011)=1,MAX($AB$1:AB970)+1,""))</f>
        <v/>
      </c>
    </row>
    <row r="972" spans="28:28" ht="15" customHeight="1">
      <c r="AB972" t="str">
        <f>IF('Project Tracker'!D1012="","",IF(COUNTIF('Project Tracker'!$D$2:D1012,'Project Tracker'!D1012)=1,MAX($AB$1:AB971)+1,""))</f>
        <v/>
      </c>
    </row>
    <row r="973" spans="28:28" ht="15" customHeight="1">
      <c r="AB973" t="str">
        <f>IF('Project Tracker'!D1013="","",IF(COUNTIF('Project Tracker'!$D$2:D1013,'Project Tracker'!D1013)=1,MAX($AB$1:AB972)+1,""))</f>
        <v/>
      </c>
    </row>
    <row r="974" spans="28:28" ht="15" customHeight="1">
      <c r="AB974" t="str">
        <f>IF('Project Tracker'!D1014="","",IF(COUNTIF('Project Tracker'!$D$2:D1014,'Project Tracker'!D1014)=1,MAX($AB$1:AB973)+1,""))</f>
        <v/>
      </c>
    </row>
    <row r="975" spans="28:28" ht="15" customHeight="1">
      <c r="AB975" t="str">
        <f>IF('Project Tracker'!D1015="","",IF(COUNTIF('Project Tracker'!$D$2:D1015,'Project Tracker'!D1015)=1,MAX($AB$1:AB974)+1,""))</f>
        <v/>
      </c>
    </row>
    <row r="976" spans="28:28" ht="15" customHeight="1">
      <c r="AB976" t="str">
        <f>IF('Project Tracker'!D1016="","",IF(COUNTIF('Project Tracker'!$D$2:D1016,'Project Tracker'!D1016)=1,MAX($AB$1:AB975)+1,""))</f>
        <v/>
      </c>
    </row>
    <row r="977" spans="28:28" ht="15" customHeight="1">
      <c r="AB977" t="str">
        <f>IF('Project Tracker'!D1017="","",IF(COUNTIF('Project Tracker'!$D$2:D1017,'Project Tracker'!D1017)=1,MAX($AB$1:AB976)+1,""))</f>
        <v/>
      </c>
    </row>
    <row r="978" spans="28:28" ht="15" customHeight="1">
      <c r="AB978" t="str">
        <f>IF('Project Tracker'!D1018="","",IF(COUNTIF('Project Tracker'!$D$2:D1018,'Project Tracker'!D1018)=1,MAX($AB$1:AB977)+1,""))</f>
        <v/>
      </c>
    </row>
    <row r="979" spans="28:28" ht="15" customHeight="1">
      <c r="AB979" t="str">
        <f>IF('Project Tracker'!D1019="","",IF(COUNTIF('Project Tracker'!$D$2:D1019,'Project Tracker'!D1019)=1,MAX($AB$1:AB978)+1,""))</f>
        <v/>
      </c>
    </row>
    <row r="980" spans="28:28" ht="15" customHeight="1">
      <c r="AB980" t="str">
        <f>IF('Project Tracker'!D1020="","",IF(COUNTIF('Project Tracker'!$D$2:D1020,'Project Tracker'!D1020)=1,MAX($AB$1:AB979)+1,""))</f>
        <v/>
      </c>
    </row>
    <row r="981" spans="28:28" ht="15" customHeight="1">
      <c r="AB981" t="str">
        <f>IF('Project Tracker'!D1021="","",IF(COUNTIF('Project Tracker'!$D$2:D1021,'Project Tracker'!D1021)=1,MAX($AB$1:AB980)+1,""))</f>
        <v/>
      </c>
    </row>
    <row r="982" spans="28:28" ht="15" customHeight="1">
      <c r="AB982" t="str">
        <f>IF('Project Tracker'!D1022="","",IF(COUNTIF('Project Tracker'!$D$2:D1022,'Project Tracker'!D1022)=1,MAX($AB$1:AB981)+1,""))</f>
        <v/>
      </c>
    </row>
    <row r="983" spans="28:28" ht="15" customHeight="1">
      <c r="AB983" t="str">
        <f>IF('Project Tracker'!D1023="","",IF(COUNTIF('Project Tracker'!$D$2:D1023,'Project Tracker'!D1023)=1,MAX($AB$1:AB982)+1,""))</f>
        <v/>
      </c>
    </row>
    <row r="984" spans="28:28" ht="15" customHeight="1">
      <c r="AB984" t="str">
        <f>IF('Project Tracker'!D1024="","",IF(COUNTIF('Project Tracker'!$D$2:D1024,'Project Tracker'!D1024)=1,MAX($AB$1:AB983)+1,""))</f>
        <v/>
      </c>
    </row>
    <row r="985" spans="28:28" ht="15" customHeight="1">
      <c r="AB985" t="str">
        <f>IF('Project Tracker'!D1025="","",IF(COUNTIF('Project Tracker'!$D$2:D1025,'Project Tracker'!D1025)=1,MAX($AB$1:AB984)+1,""))</f>
        <v/>
      </c>
    </row>
    <row r="986" spans="28:28" ht="15" customHeight="1">
      <c r="AB986" t="str">
        <f>IF('Project Tracker'!D1026="","",IF(COUNTIF('Project Tracker'!$D$2:D1026,'Project Tracker'!D1026)=1,MAX($AB$1:AB985)+1,""))</f>
        <v/>
      </c>
    </row>
    <row r="987" spans="28:28" ht="15" customHeight="1">
      <c r="AB987" t="str">
        <f>IF('Project Tracker'!D1027="","",IF(COUNTIF('Project Tracker'!$D$2:D1027,'Project Tracker'!D1027)=1,MAX($AB$1:AB986)+1,""))</f>
        <v/>
      </c>
    </row>
    <row r="988" spans="28:28" ht="15" customHeight="1">
      <c r="AB988" t="str">
        <f>IF('Project Tracker'!D1028="","",IF(COUNTIF('Project Tracker'!$D$2:D1028,'Project Tracker'!D1028)=1,MAX($AB$1:AB987)+1,""))</f>
        <v/>
      </c>
    </row>
    <row r="989" spans="28:28" ht="15" customHeight="1">
      <c r="AB989" t="str">
        <f>IF('Project Tracker'!D1029="","",IF(COUNTIF('Project Tracker'!$D$2:D1029,'Project Tracker'!D1029)=1,MAX($AB$1:AB988)+1,""))</f>
        <v/>
      </c>
    </row>
    <row r="990" spans="28:28" ht="15" customHeight="1">
      <c r="AB990" t="str">
        <f>IF('Project Tracker'!D1030="","",IF(COUNTIF('Project Tracker'!$D$2:D1030,'Project Tracker'!D1030)=1,MAX($AB$1:AB989)+1,""))</f>
        <v/>
      </c>
    </row>
    <row r="991" spans="28:28" ht="15" customHeight="1">
      <c r="AB991" t="str">
        <f>IF('Project Tracker'!D1031="","",IF(COUNTIF('Project Tracker'!$D$2:D1031,'Project Tracker'!D1031)=1,MAX($AB$1:AB990)+1,""))</f>
        <v/>
      </c>
    </row>
    <row r="992" spans="28:28" ht="15" customHeight="1">
      <c r="AB992" t="str">
        <f>IF('Project Tracker'!D1032="","",IF(COUNTIF('Project Tracker'!$D$2:D1032,'Project Tracker'!D1032)=1,MAX($AB$1:AB991)+1,""))</f>
        <v/>
      </c>
    </row>
    <row r="993" spans="28:28" ht="15" customHeight="1">
      <c r="AB993" t="str">
        <f>IF('Project Tracker'!D1033="","",IF(COUNTIF('Project Tracker'!$D$2:D1033,'Project Tracker'!D1033)=1,MAX($AB$1:AB992)+1,""))</f>
        <v/>
      </c>
    </row>
    <row r="994" spans="28:28" ht="15" customHeight="1">
      <c r="AB994" t="str">
        <f>IF('Project Tracker'!D1034="","",IF(COUNTIF('Project Tracker'!$D$2:D1034,'Project Tracker'!D1034)=1,MAX($AB$1:AB993)+1,""))</f>
        <v/>
      </c>
    </row>
    <row r="995" spans="28:28" ht="15" customHeight="1">
      <c r="AB995" t="str">
        <f>IF('Project Tracker'!D1035="","",IF(COUNTIF('Project Tracker'!$D$2:D1035,'Project Tracker'!D1035)=1,MAX($AB$1:AB994)+1,""))</f>
        <v/>
      </c>
    </row>
    <row r="996" spans="28:28" ht="15" customHeight="1">
      <c r="AB996" t="str">
        <f>IF('Project Tracker'!D1036="","",IF(COUNTIF('Project Tracker'!$D$2:D1036,'Project Tracker'!D1036)=1,MAX($AB$1:AB995)+1,""))</f>
        <v/>
      </c>
    </row>
    <row r="997" spans="28:28" ht="15" customHeight="1">
      <c r="AB997" t="str">
        <f>IF('Project Tracker'!D1037="","",IF(COUNTIF('Project Tracker'!$D$2:D1037,'Project Tracker'!D1037)=1,MAX($AB$1:AB996)+1,""))</f>
        <v/>
      </c>
    </row>
    <row r="998" spans="28:28" ht="15" customHeight="1">
      <c r="AB998" t="str">
        <f>IF('Project Tracker'!D1038="","",IF(COUNTIF('Project Tracker'!$D$2:D1038,'Project Tracker'!D1038)=1,MAX($AB$1:AB997)+1,""))</f>
        <v/>
      </c>
    </row>
    <row r="999" spans="28:28" ht="15" customHeight="1">
      <c r="AB999" t="str">
        <f>IF('Project Tracker'!D1039="","",IF(COUNTIF('Project Tracker'!$D$2:D1039,'Project Tracker'!D1039)=1,MAX($AB$1:AB998)+1,""))</f>
        <v/>
      </c>
    </row>
    <row r="1000" spans="28:28" ht="15" customHeight="1">
      <c r="AB1000" t="str">
        <f>IF('Project Tracker'!D1040="","",IF(COUNTIF('Project Tracker'!$D$2:D1040,'Project Tracker'!D1040)=1,MAX($AB$1:AB999)+1,""))</f>
        <v/>
      </c>
    </row>
    <row r="1001" spans="28:28" ht="15" customHeight="1">
      <c r="AB1001" t="str">
        <f>IF('Project Tracker'!D1041="","",IF(COUNTIF('Project Tracker'!$D$2:D1041,'Project Tracker'!D1041)=1,MAX($AB$1:AB1000)+1,""))</f>
        <v/>
      </c>
    </row>
    <row r="1002" spans="28:28" ht="15" customHeight="1">
      <c r="AB1002" t="str">
        <f>IF('Project Tracker'!D1042="","",IF(COUNTIF('Project Tracker'!$D$2:D1042,'Project Tracker'!D1042)=1,MAX($AB$1:AB1001)+1,""))</f>
        <v/>
      </c>
    </row>
    <row r="1003" spans="28:28" ht="15" customHeight="1">
      <c r="AB1003" t="str">
        <f>IF('Project Tracker'!D1043="","",IF(COUNTIF('Project Tracker'!$D$2:D1043,'Project Tracker'!D1043)=1,MAX($AB$1:AB1002)+1,""))</f>
        <v/>
      </c>
    </row>
    <row r="1004" spans="28:28" ht="15" customHeight="1">
      <c r="AB1004" t="str">
        <f>IF('Project Tracker'!D1044="","",IF(COUNTIF('Project Tracker'!$D$2:D1044,'Project Tracker'!D1044)=1,MAX($AB$1:AB1003)+1,""))</f>
        <v/>
      </c>
    </row>
    <row r="1005" spans="28:28" ht="15" customHeight="1">
      <c r="AB1005" t="str">
        <f>IF('Project Tracker'!D1045="","",IF(COUNTIF('Project Tracker'!$D$2:D1045,'Project Tracker'!D1045)=1,MAX($AB$1:AB1004)+1,""))</f>
        <v/>
      </c>
    </row>
    <row r="1006" spans="28:28" ht="15" customHeight="1">
      <c r="AB1006" t="str">
        <f>IF('Project Tracker'!D1046="","",IF(COUNTIF('Project Tracker'!$D$2:D1046,'Project Tracker'!D1046)=1,MAX($AB$1:AB1005)+1,""))</f>
        <v/>
      </c>
    </row>
    <row r="1007" spans="28:28" ht="15" customHeight="1">
      <c r="AB1007" t="str">
        <f>IF('Project Tracker'!D1047="","",IF(COUNTIF('Project Tracker'!$D$2:D1047,'Project Tracker'!D1047)=1,MAX($AB$1:AB1006)+1,""))</f>
        <v/>
      </c>
    </row>
    <row r="1008" spans="28:28" ht="15" customHeight="1">
      <c r="AB1008" t="str">
        <f>IF('Project Tracker'!D1048="","",IF(COUNTIF('Project Tracker'!$D$2:D1048,'Project Tracker'!D1048)=1,MAX($AB$1:AB1007)+1,""))</f>
        <v/>
      </c>
    </row>
    <row r="1009" spans="28:28" ht="15" customHeight="1">
      <c r="AB1009" t="str">
        <f>IF('Project Tracker'!D1049="","",IF(COUNTIF('Project Tracker'!$D$2:D1049,'Project Tracker'!D1049)=1,MAX($AB$1:AB1008)+1,""))</f>
        <v/>
      </c>
    </row>
    <row r="1010" spans="28:28" ht="15" customHeight="1">
      <c r="AB1010" t="str">
        <f>IF('Project Tracker'!D1050="","",IF(COUNTIF('Project Tracker'!$D$2:D1050,'Project Tracker'!D1050)=1,MAX($AB$1:AB1009)+1,""))</f>
        <v/>
      </c>
    </row>
    <row r="1011" spans="28:28" ht="15" customHeight="1">
      <c r="AB1011" t="str">
        <f>IF('Project Tracker'!D1051="","",IF(COUNTIF('Project Tracker'!$D$2:D1051,'Project Tracker'!D1051)=1,MAX($AB$1:AB1010)+1,""))</f>
        <v/>
      </c>
    </row>
    <row r="1012" spans="28:28" ht="15" customHeight="1">
      <c r="AB1012" t="str">
        <f>IF('Project Tracker'!D1052="","",IF(COUNTIF('Project Tracker'!$D$2:D1052,'Project Tracker'!D1052)=1,MAX($AB$1:AB1011)+1,""))</f>
        <v/>
      </c>
    </row>
    <row r="1013" spans="28:28" ht="15" customHeight="1">
      <c r="AB1013" t="str">
        <f>IF('Project Tracker'!D1053="","",IF(COUNTIF('Project Tracker'!$D$2:D1053,'Project Tracker'!D1053)=1,MAX($AB$1:AB1012)+1,""))</f>
        <v/>
      </c>
    </row>
    <row r="1014" spans="28:28" ht="15" customHeight="1">
      <c r="AB1014" t="str">
        <f>IF('Project Tracker'!D1054="","",IF(COUNTIF('Project Tracker'!$D$2:D1054,'Project Tracker'!D1054)=1,MAX($AB$1:AB1013)+1,""))</f>
        <v/>
      </c>
    </row>
    <row r="1015" spans="28:28" ht="15" customHeight="1">
      <c r="AB1015" t="str">
        <f>IF('Project Tracker'!D1055="","",IF(COUNTIF('Project Tracker'!$D$2:D1055,'Project Tracker'!D1055)=1,MAX($AB$1:AB1014)+1,""))</f>
        <v/>
      </c>
    </row>
    <row r="1016" spans="28:28" ht="15" customHeight="1">
      <c r="AB1016" t="str">
        <f>IF('Project Tracker'!D1056="","",IF(COUNTIF('Project Tracker'!$D$2:D1056,'Project Tracker'!D1056)=1,MAX($AB$1:AB1015)+1,""))</f>
        <v/>
      </c>
    </row>
    <row r="1017" spans="28:28" ht="15" customHeight="1">
      <c r="AB1017" t="str">
        <f>IF('Project Tracker'!D1057="","",IF(COUNTIF('Project Tracker'!$D$2:D1057,'Project Tracker'!D1057)=1,MAX($AB$1:AB1016)+1,""))</f>
        <v/>
      </c>
    </row>
    <row r="1018" spans="28:28" ht="15" customHeight="1">
      <c r="AB1018" t="str">
        <f>IF('Project Tracker'!D1058="","",IF(COUNTIF('Project Tracker'!$D$2:D1058,'Project Tracker'!D1058)=1,MAX($AB$1:AB1017)+1,""))</f>
        <v/>
      </c>
    </row>
    <row r="1019" spans="28:28" ht="15" customHeight="1">
      <c r="AB1019" t="str">
        <f>IF('Project Tracker'!D1059="","",IF(COUNTIF('Project Tracker'!$D$2:D1059,'Project Tracker'!D1059)=1,MAX($AB$1:AB1018)+1,""))</f>
        <v/>
      </c>
    </row>
    <row r="1020" spans="28:28" ht="15" customHeight="1">
      <c r="AB1020" t="str">
        <f>IF('Project Tracker'!D1060="","",IF(COUNTIF('Project Tracker'!$D$2:D1060,'Project Tracker'!D1060)=1,MAX($AB$1:AB1019)+1,""))</f>
        <v/>
      </c>
    </row>
    <row r="1021" spans="28:28" ht="15" customHeight="1">
      <c r="AB1021" t="str">
        <f>IF('Project Tracker'!D1061="","",IF(COUNTIF('Project Tracker'!$D$2:D1061,'Project Tracker'!D1061)=1,MAX($AB$1:AB1020)+1,""))</f>
        <v/>
      </c>
    </row>
    <row r="1022" spans="28:28" ht="15" customHeight="1">
      <c r="AB1022" t="str">
        <f>IF('Project Tracker'!D1062="","",IF(COUNTIF('Project Tracker'!$D$2:D1062,'Project Tracker'!D1062)=1,MAX($AB$1:AB1021)+1,""))</f>
        <v/>
      </c>
    </row>
    <row r="1023" spans="28:28" ht="15" customHeight="1">
      <c r="AB1023" t="str">
        <f>IF('Project Tracker'!D1063="","",IF(COUNTIF('Project Tracker'!$D$2:D1063,'Project Tracker'!D1063)=1,MAX($AB$1:AB1022)+1,""))</f>
        <v/>
      </c>
    </row>
    <row r="1024" spans="28:28" ht="15" customHeight="1">
      <c r="AB1024" t="str">
        <f>IF('Project Tracker'!D1064="","",IF(COUNTIF('Project Tracker'!$D$2:D1064,'Project Tracker'!D1064)=1,MAX($AB$1:AB1023)+1,""))</f>
        <v/>
      </c>
    </row>
    <row r="1025" spans="28:28" ht="15" customHeight="1">
      <c r="AB1025" t="str">
        <f>IF('Project Tracker'!D1065="","",IF(COUNTIF('Project Tracker'!$D$2:D1065,'Project Tracker'!D1065)=1,MAX($AB$1:AB1024)+1,""))</f>
        <v/>
      </c>
    </row>
    <row r="1026" spans="28:28" ht="15" customHeight="1">
      <c r="AB1026" t="str">
        <f>IF('Project Tracker'!D1066="","",IF(COUNTIF('Project Tracker'!$D$2:D1066,'Project Tracker'!D1066)=1,MAX($AB$1:AB1025)+1,""))</f>
        <v/>
      </c>
    </row>
    <row r="1027" spans="28:28" ht="15" customHeight="1">
      <c r="AB1027" t="str">
        <f>IF('Project Tracker'!D1067="","",IF(COUNTIF('Project Tracker'!$D$2:D1067,'Project Tracker'!D1067)=1,MAX($AB$1:AB1026)+1,""))</f>
        <v/>
      </c>
    </row>
    <row r="1028" spans="28:28" ht="15" customHeight="1">
      <c r="AB1028" t="str">
        <f>IF('Project Tracker'!D1068="","",IF(COUNTIF('Project Tracker'!$D$2:D1068,'Project Tracker'!D1068)=1,MAX($AB$1:AB1027)+1,""))</f>
        <v/>
      </c>
    </row>
    <row r="1029" spans="28:28" ht="15" customHeight="1">
      <c r="AB1029" t="str">
        <f>IF('Project Tracker'!D1069="","",IF(COUNTIF('Project Tracker'!$D$2:D1069,'Project Tracker'!D1069)=1,MAX($AB$1:AB1028)+1,""))</f>
        <v/>
      </c>
    </row>
    <row r="1030" spans="28:28" ht="15" customHeight="1">
      <c r="AB1030" t="str">
        <f>IF('Project Tracker'!D1070="","",IF(COUNTIF('Project Tracker'!$D$2:D1070,'Project Tracker'!D1070)=1,MAX($AB$1:AB1029)+1,""))</f>
        <v/>
      </c>
    </row>
    <row r="1031" spans="28:28" ht="15" customHeight="1">
      <c r="AB1031" t="str">
        <f>IF('Project Tracker'!D1071="","",IF(COUNTIF('Project Tracker'!$D$2:D1071,'Project Tracker'!D1071)=1,MAX($AB$1:AB1030)+1,""))</f>
        <v/>
      </c>
    </row>
    <row r="1032" spans="28:28" ht="15" customHeight="1">
      <c r="AB1032" t="str">
        <f>IF('Project Tracker'!D1072="","",IF(COUNTIF('Project Tracker'!$D$2:D1072,'Project Tracker'!D1072)=1,MAX($AB$1:AB1031)+1,""))</f>
        <v/>
      </c>
    </row>
    <row r="1033" spans="28:28" ht="15" customHeight="1">
      <c r="AB1033" t="str">
        <f>IF('Project Tracker'!D1073="","",IF(COUNTIF('Project Tracker'!$D$2:D1073,'Project Tracker'!D1073)=1,MAX($AB$1:AB1032)+1,""))</f>
        <v/>
      </c>
    </row>
    <row r="1034" spans="28:28" ht="15" customHeight="1">
      <c r="AB1034" t="str">
        <f>IF('Project Tracker'!D1074="","",IF(COUNTIF('Project Tracker'!$D$2:D1074,'Project Tracker'!D1074)=1,MAX($AB$1:AB1033)+1,""))</f>
        <v/>
      </c>
    </row>
    <row r="1035" spans="28:28" ht="15" customHeight="1">
      <c r="AB1035" t="str">
        <f>IF('Project Tracker'!D1075="","",IF(COUNTIF('Project Tracker'!$D$2:D1075,'Project Tracker'!D1075)=1,MAX($AB$1:AB1034)+1,""))</f>
        <v/>
      </c>
    </row>
    <row r="1036" spans="28:28" ht="15" customHeight="1">
      <c r="AB1036" t="str">
        <f>IF('Project Tracker'!D1076="","",IF(COUNTIF('Project Tracker'!$D$2:D1076,'Project Tracker'!D1076)=1,MAX($AB$1:AB1035)+1,""))</f>
        <v/>
      </c>
    </row>
    <row r="1037" spans="28:28" ht="15" customHeight="1">
      <c r="AB1037" t="str">
        <f>IF('Project Tracker'!D1077="","",IF(COUNTIF('Project Tracker'!$D$2:D1077,'Project Tracker'!D1077)=1,MAX($AB$1:AB1036)+1,""))</f>
        <v/>
      </c>
    </row>
    <row r="1038" spans="28:28" ht="15" customHeight="1">
      <c r="AB1038" t="str">
        <f>IF('Project Tracker'!D1078="","",IF(COUNTIF('Project Tracker'!$D$2:D1078,'Project Tracker'!D1078)=1,MAX($AB$1:AB1037)+1,""))</f>
        <v/>
      </c>
    </row>
    <row r="1039" spans="28:28" ht="15" customHeight="1">
      <c r="AB1039" t="str">
        <f>IF('Project Tracker'!D1079="","",IF(COUNTIF('Project Tracker'!$D$2:D1079,'Project Tracker'!D1079)=1,MAX($AB$1:AB1038)+1,""))</f>
        <v/>
      </c>
    </row>
    <row r="1040" spans="28:28" ht="15" customHeight="1">
      <c r="AB1040" t="str">
        <f>IF('Project Tracker'!D1080="","",IF(COUNTIF('Project Tracker'!$D$2:D1080,'Project Tracker'!D1080)=1,MAX($AB$1:AB1039)+1,""))</f>
        <v/>
      </c>
    </row>
    <row r="1041" spans="28:28" ht="15" customHeight="1">
      <c r="AB1041" t="str">
        <f>IF('Project Tracker'!D1081="","",IF(COUNTIF('Project Tracker'!$D$2:D1081,'Project Tracker'!D1081)=1,MAX($AB$1:AB1040)+1,""))</f>
        <v/>
      </c>
    </row>
    <row r="1042" spans="28:28" ht="15" customHeight="1">
      <c r="AB1042" t="str">
        <f>IF('Project Tracker'!D1082="","",IF(COUNTIF('Project Tracker'!$D$2:D1082,'Project Tracker'!D1082)=1,MAX($AB$1:AB1041)+1,""))</f>
        <v/>
      </c>
    </row>
    <row r="1043" spans="28:28" ht="15" customHeight="1">
      <c r="AB1043" t="str">
        <f>IF('Project Tracker'!D1083="","",IF(COUNTIF('Project Tracker'!$D$2:D1083,'Project Tracker'!D1083)=1,MAX($AB$1:AB1042)+1,""))</f>
        <v/>
      </c>
    </row>
    <row r="1044" spans="28:28" ht="15" customHeight="1">
      <c r="AB1044" t="str">
        <f>IF('Project Tracker'!D1084="","",IF(COUNTIF('Project Tracker'!$D$2:D1084,'Project Tracker'!D1084)=1,MAX($AB$1:AB1043)+1,""))</f>
        <v/>
      </c>
    </row>
    <row r="1045" spans="28:28" ht="15" customHeight="1">
      <c r="AB1045" t="str">
        <f>IF('Project Tracker'!D1085="","",IF(COUNTIF('Project Tracker'!$D$2:D1085,'Project Tracker'!D1085)=1,MAX($AB$1:AB1044)+1,""))</f>
        <v/>
      </c>
    </row>
    <row r="1046" spans="28:28" ht="15" customHeight="1">
      <c r="AB1046" t="str">
        <f>IF('Project Tracker'!D1086="","",IF(COUNTIF('Project Tracker'!$D$2:D1086,'Project Tracker'!D1086)=1,MAX($AB$1:AB1045)+1,""))</f>
        <v/>
      </c>
    </row>
    <row r="1047" spans="28:28" ht="15" customHeight="1">
      <c r="AB1047" t="str">
        <f>IF('Project Tracker'!D1087="","",IF(COUNTIF('Project Tracker'!$D$2:D1087,'Project Tracker'!D1087)=1,MAX($AB$1:AB1046)+1,""))</f>
        <v/>
      </c>
    </row>
    <row r="1048" spans="28:28" ht="15" customHeight="1">
      <c r="AB1048" t="str">
        <f>IF('Project Tracker'!D1088="","",IF(COUNTIF('Project Tracker'!$D$2:D1088,'Project Tracker'!D1088)=1,MAX($AB$1:AB1047)+1,""))</f>
        <v/>
      </c>
    </row>
    <row r="1049" spans="28:28" ht="15" customHeight="1">
      <c r="AB1049" t="str">
        <f>IF('Project Tracker'!D1089="","",IF(COUNTIF('Project Tracker'!$D$2:D1089,'Project Tracker'!D1089)=1,MAX($AB$1:AB1048)+1,""))</f>
        <v/>
      </c>
    </row>
    <row r="1050" spans="28:28" ht="15" customHeight="1">
      <c r="AB1050" t="str">
        <f>IF('Project Tracker'!D1090="","",IF(COUNTIF('Project Tracker'!$D$2:D1090,'Project Tracker'!D1090)=1,MAX($AB$1:AB1049)+1,""))</f>
        <v/>
      </c>
    </row>
    <row r="1051" spans="28:28" ht="15" customHeight="1">
      <c r="AB1051" t="str">
        <f>IF('Project Tracker'!D1091="","",IF(COUNTIF('Project Tracker'!$D$2:D1091,'Project Tracker'!D1091)=1,MAX($AB$1:AB1050)+1,""))</f>
        <v/>
      </c>
    </row>
    <row r="1052" spans="28:28" ht="15" customHeight="1">
      <c r="AB1052" t="str">
        <f>IF('Project Tracker'!D1092="","",IF(COUNTIF('Project Tracker'!$D$2:D1092,'Project Tracker'!D1092)=1,MAX($AB$1:AB1051)+1,""))</f>
        <v/>
      </c>
    </row>
    <row r="1053" spans="28:28" ht="15" customHeight="1">
      <c r="AB1053" t="str">
        <f>IF('Project Tracker'!D1093="","",IF(COUNTIF('Project Tracker'!$D$2:D1093,'Project Tracker'!D1093)=1,MAX($AB$1:AB1052)+1,""))</f>
        <v/>
      </c>
    </row>
    <row r="1054" spans="28:28" ht="15" customHeight="1">
      <c r="AB1054" t="str">
        <f>IF('Project Tracker'!D1094="","",IF(COUNTIF('Project Tracker'!$D$2:D1094,'Project Tracker'!D1094)=1,MAX($AB$1:AB1053)+1,""))</f>
        <v/>
      </c>
    </row>
    <row r="1055" spans="28:28" ht="15" customHeight="1">
      <c r="AB1055" t="str">
        <f>IF('Project Tracker'!D1095="","",IF(COUNTIF('Project Tracker'!$D$2:D1095,'Project Tracker'!D1095)=1,MAX($AB$1:AB1054)+1,""))</f>
        <v/>
      </c>
    </row>
    <row r="1056" spans="28:28" ht="15" customHeight="1">
      <c r="AB1056" t="str">
        <f>IF('Project Tracker'!D1096="","",IF(COUNTIF('Project Tracker'!$D$2:D1096,'Project Tracker'!D1096)=1,MAX($AB$1:AB1055)+1,""))</f>
        <v/>
      </c>
    </row>
    <row r="1057" spans="28:28" ht="15" customHeight="1">
      <c r="AB1057" t="str">
        <f>IF('Project Tracker'!D1097="","",IF(COUNTIF('Project Tracker'!$D$2:D1097,'Project Tracker'!D1097)=1,MAX($AB$1:AB1056)+1,""))</f>
        <v/>
      </c>
    </row>
    <row r="1058" spans="28:28" ht="15" customHeight="1">
      <c r="AB1058" t="str">
        <f>IF('Project Tracker'!D1098="","",IF(COUNTIF('Project Tracker'!$D$2:D1098,'Project Tracker'!D1098)=1,MAX($AB$1:AB1057)+1,""))</f>
        <v/>
      </c>
    </row>
    <row r="1059" spans="28:28" ht="15" customHeight="1">
      <c r="AB1059" t="str">
        <f>IF('Project Tracker'!D1099="","",IF(COUNTIF('Project Tracker'!$D$2:D1099,'Project Tracker'!D1099)=1,MAX($AB$1:AB1058)+1,""))</f>
        <v/>
      </c>
    </row>
    <row r="1060" spans="28:28" ht="15" customHeight="1">
      <c r="AB1060" t="str">
        <f>IF('Project Tracker'!D1100="","",IF(COUNTIF('Project Tracker'!$D$2:D1100,'Project Tracker'!D1100)=1,MAX($AB$1:AB1059)+1,""))</f>
        <v/>
      </c>
    </row>
    <row r="1061" spans="28:28" ht="15" customHeight="1">
      <c r="AB1061" t="str">
        <f>IF('Project Tracker'!D1101="","",IF(COUNTIF('Project Tracker'!$D$2:D1101,'Project Tracker'!D1101)=1,MAX($AB$1:AB1060)+1,""))</f>
        <v/>
      </c>
    </row>
    <row r="1062" spans="28:28" ht="15" customHeight="1">
      <c r="AB1062" t="str">
        <f>IF('Project Tracker'!D1102="","",IF(COUNTIF('Project Tracker'!$D$2:D1102,'Project Tracker'!D1102)=1,MAX($AB$1:AB1061)+1,""))</f>
        <v/>
      </c>
    </row>
    <row r="1063" spans="28:28" ht="15" customHeight="1">
      <c r="AB1063" t="str">
        <f>IF('Project Tracker'!D1103="","",IF(COUNTIF('Project Tracker'!$D$2:D1103,'Project Tracker'!D1103)=1,MAX($AB$1:AB1062)+1,""))</f>
        <v/>
      </c>
    </row>
    <row r="1064" spans="28:28" ht="15" customHeight="1">
      <c r="AB1064" t="str">
        <f>IF('Project Tracker'!D1104="","",IF(COUNTIF('Project Tracker'!$D$2:D1104,'Project Tracker'!D1104)=1,MAX($AB$1:AB1063)+1,""))</f>
        <v/>
      </c>
    </row>
    <row r="1065" spans="28:28" ht="15" customHeight="1">
      <c r="AB1065" t="str">
        <f>IF('Project Tracker'!D1105="","",IF(COUNTIF('Project Tracker'!$D$2:D1105,'Project Tracker'!D1105)=1,MAX($AB$1:AB1064)+1,""))</f>
        <v/>
      </c>
    </row>
    <row r="1066" spans="28:28" ht="15" customHeight="1">
      <c r="AB1066" t="str">
        <f>IF('Project Tracker'!D1106="","",IF(COUNTIF('Project Tracker'!$D$2:D1106,'Project Tracker'!D1106)=1,MAX($AB$1:AB1065)+1,""))</f>
        <v/>
      </c>
    </row>
    <row r="1067" spans="28:28" ht="15" customHeight="1">
      <c r="AB1067" t="str">
        <f>IF('Project Tracker'!D1107="","",IF(COUNTIF('Project Tracker'!$D$2:D1107,'Project Tracker'!D1107)=1,MAX($AB$1:AB1066)+1,""))</f>
        <v/>
      </c>
    </row>
    <row r="1068" spans="28:28" ht="15" customHeight="1">
      <c r="AB1068" t="str">
        <f>IF('Project Tracker'!D1108="","",IF(COUNTIF('Project Tracker'!$D$2:D1108,'Project Tracker'!D1108)=1,MAX($AB$1:AB1067)+1,""))</f>
        <v/>
      </c>
    </row>
    <row r="1069" spans="28:28" ht="15" customHeight="1">
      <c r="AB1069" t="str">
        <f>IF('Project Tracker'!D1109="","",IF(COUNTIF('Project Tracker'!$D$2:D1109,'Project Tracker'!D1109)=1,MAX($AB$1:AB1068)+1,""))</f>
        <v/>
      </c>
    </row>
    <row r="1070" spans="28:28" ht="15" customHeight="1">
      <c r="AB1070" t="str">
        <f>IF('Project Tracker'!D1110="","",IF(COUNTIF('Project Tracker'!$D$2:D1110,'Project Tracker'!D1110)=1,MAX($AB$1:AB1069)+1,""))</f>
        <v/>
      </c>
    </row>
    <row r="1071" spans="28:28" ht="15" customHeight="1">
      <c r="AB1071" t="str">
        <f>IF('Project Tracker'!D1111="","",IF(COUNTIF('Project Tracker'!$D$2:D1111,'Project Tracker'!D1111)=1,MAX($AB$1:AB1070)+1,""))</f>
        <v/>
      </c>
    </row>
    <row r="1072" spans="28:28" ht="15" customHeight="1">
      <c r="AB1072" t="str">
        <f>IF('Project Tracker'!D1112="","",IF(COUNTIF('Project Tracker'!$D$2:D1112,'Project Tracker'!D1112)=1,MAX($AB$1:AB1071)+1,""))</f>
        <v/>
      </c>
    </row>
    <row r="1073" spans="28:28" ht="15" customHeight="1">
      <c r="AB1073" t="str">
        <f>IF('Project Tracker'!D1113="","",IF(COUNTIF('Project Tracker'!$D$2:D1113,'Project Tracker'!D1113)=1,MAX($AB$1:AB1072)+1,""))</f>
        <v/>
      </c>
    </row>
    <row r="1074" spans="28:28" ht="15" customHeight="1">
      <c r="AB1074" t="str">
        <f>IF('Project Tracker'!D1114="","",IF(COUNTIF('Project Tracker'!$D$2:D1114,'Project Tracker'!D1114)=1,MAX($AB$1:AB1073)+1,""))</f>
        <v/>
      </c>
    </row>
    <row r="1075" spans="28:28" ht="15" customHeight="1">
      <c r="AB1075" t="str">
        <f>IF('Project Tracker'!D1115="","",IF(COUNTIF('Project Tracker'!$D$2:D1115,'Project Tracker'!D1115)=1,MAX($AB$1:AB1074)+1,""))</f>
        <v/>
      </c>
    </row>
    <row r="1076" spans="28:28" ht="15" customHeight="1">
      <c r="AB1076" t="str">
        <f>IF('Project Tracker'!D1116="","",IF(COUNTIF('Project Tracker'!$D$2:D1116,'Project Tracker'!D1116)=1,MAX($AB$1:AB1075)+1,""))</f>
        <v/>
      </c>
    </row>
  </sheetData>
  <sheetProtection sheet="1" objects="1" scenarios="1"/>
  <mergeCells count="20">
    <mergeCell ref="B11:O11"/>
    <mergeCell ref="B12:O12"/>
    <mergeCell ref="B76:O76"/>
    <mergeCell ref="B7:C8"/>
    <mergeCell ref="E7:F8"/>
    <mergeCell ref="H7:I8"/>
    <mergeCell ref="K7:L8"/>
    <mergeCell ref="N7:O8"/>
    <mergeCell ref="B6:C6"/>
    <mergeCell ref="E6:F6"/>
    <mergeCell ref="H6:I6"/>
    <mergeCell ref="K6:L6"/>
    <mergeCell ref="N6:O6"/>
    <mergeCell ref="B2:O2"/>
    <mergeCell ref="B3:O3"/>
    <mergeCell ref="B5:C5"/>
    <mergeCell ref="E5:F5"/>
    <mergeCell ref="H5:I5"/>
    <mergeCell ref="K5:L5"/>
    <mergeCell ref="N5:O5"/>
  </mergeCells>
  <conditionalFormatting sqref="G15:G74">
    <cfRule type="colorScale" priority="2">
      <colorScale>
        <cfvo type="min"/>
        <cfvo type="max"/>
        <color rgb="FFFFFFFF"/>
        <color rgb="FF2F6FED"/>
      </colorScale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48573"/>
  <sheetViews>
    <sheetView showGridLines="0" tabSelected="1" zoomScaleNormal="100" workbookViewId="0">
      <pane ySplit="1" topLeftCell="A104" activePane="bottomLeft" state="frozen"/>
      <selection pane="bottomLeft" activeCell="I183" sqref="I183"/>
    </sheetView>
  </sheetViews>
  <sheetFormatPr defaultColWidth="8.5703125" defaultRowHeight="15" customHeight="1"/>
  <cols>
    <col min="1" max="1" width="8.5703125" style="36"/>
    <col min="2" max="2" width="44.140625" style="31" customWidth="1"/>
    <col min="3" max="3" width="18" style="31" customWidth="1"/>
    <col min="4" max="4" width="17" style="31" customWidth="1"/>
    <col min="5" max="5" width="17.85546875" style="31" customWidth="1"/>
    <col min="6" max="6" width="36.7109375" style="31" customWidth="1"/>
    <col min="7" max="7" width="12.42578125" style="31" customWidth="1"/>
    <col min="8" max="8" width="12" style="31" customWidth="1"/>
    <col min="9" max="9" width="39.140625" style="31" customWidth="1"/>
    <col min="10" max="10" width="12" style="31" customWidth="1"/>
    <col min="11" max="11" width="13" style="31" customWidth="1"/>
    <col min="12" max="12" width="20" style="31" customWidth="1"/>
    <col min="13" max="13" width="22" style="31" customWidth="1"/>
    <col min="14" max="14" width="18" style="31" customWidth="1"/>
    <col min="15" max="15" width="20" style="31" customWidth="1"/>
    <col min="16" max="16" width="16" style="32" customWidth="1"/>
    <col min="17" max="18" width="16" style="31" customWidth="1"/>
    <col min="19" max="19" width="47.5703125" style="31" customWidth="1"/>
  </cols>
  <sheetData>
    <row r="1" spans="1:19" ht="33.75" customHeight="1">
      <c r="A1" s="30" t="s">
        <v>16</v>
      </c>
      <c r="B1" s="30" t="s">
        <v>17</v>
      </c>
      <c r="C1" s="30" t="s">
        <v>18</v>
      </c>
      <c r="D1" s="30" t="s">
        <v>19</v>
      </c>
      <c r="E1" s="30" t="s">
        <v>20</v>
      </c>
      <c r="F1" s="41" t="s">
        <v>21</v>
      </c>
      <c r="G1" s="30" t="s">
        <v>22</v>
      </c>
      <c r="H1" s="30" t="s">
        <v>23</v>
      </c>
      <c r="I1" s="41" t="s">
        <v>24</v>
      </c>
      <c r="J1" s="30" t="s">
        <v>25</v>
      </c>
      <c r="K1" s="30" t="s">
        <v>26</v>
      </c>
      <c r="L1" s="30" t="s">
        <v>27</v>
      </c>
      <c r="M1" s="30" t="s">
        <v>28</v>
      </c>
      <c r="N1" s="30" t="s">
        <v>29</v>
      </c>
      <c r="O1" s="30" t="s">
        <v>30</v>
      </c>
      <c r="P1" s="30" t="s">
        <v>31</v>
      </c>
      <c r="Q1" s="30" t="s">
        <v>32</v>
      </c>
      <c r="R1" s="30" t="s">
        <v>33</v>
      </c>
      <c r="S1" s="41" t="s">
        <v>34</v>
      </c>
    </row>
    <row r="2" spans="1:19" s="31" customFormat="1" ht="15" customHeight="1">
      <c r="A2" s="36">
        <v>1</v>
      </c>
      <c r="B2" s="31" t="s">
        <v>35</v>
      </c>
      <c r="C2" s="31" t="s">
        <v>36</v>
      </c>
      <c r="D2" s="31" t="s">
        <v>37</v>
      </c>
      <c r="G2" s="31" t="s">
        <v>38</v>
      </c>
      <c r="H2" s="31" t="s">
        <v>39</v>
      </c>
      <c r="K2" s="35">
        <v>46062</v>
      </c>
      <c r="P2" s="32" t="s">
        <v>40</v>
      </c>
    </row>
    <row r="3" spans="1:19" ht="15" customHeight="1">
      <c r="A3" s="36">
        <v>2</v>
      </c>
      <c r="B3" s="31" t="s">
        <v>41</v>
      </c>
      <c r="C3" s="31" t="s">
        <v>42</v>
      </c>
      <c r="D3" s="31" t="s">
        <v>43</v>
      </c>
      <c r="G3" s="31" t="s">
        <v>44</v>
      </c>
      <c r="H3" s="31" t="s">
        <v>39</v>
      </c>
      <c r="K3" s="35">
        <v>46009</v>
      </c>
      <c r="P3" s="32" t="s">
        <v>45</v>
      </c>
    </row>
    <row r="4" spans="1:19" ht="15" customHeight="1">
      <c r="A4" s="36">
        <v>3</v>
      </c>
      <c r="B4" s="31" t="s">
        <v>46</v>
      </c>
      <c r="C4" s="31" t="s">
        <v>42</v>
      </c>
      <c r="D4" s="31" t="s">
        <v>43</v>
      </c>
      <c r="G4" s="31" t="s">
        <v>44</v>
      </c>
      <c r="H4" s="31" t="s">
        <v>39</v>
      </c>
      <c r="K4" s="35">
        <v>46009</v>
      </c>
      <c r="P4" s="32" t="s">
        <v>45</v>
      </c>
    </row>
    <row r="5" spans="1:19" ht="15" customHeight="1">
      <c r="A5" s="36">
        <v>4</v>
      </c>
      <c r="B5" s="31" t="s">
        <v>47</v>
      </c>
      <c r="C5" s="31" t="s">
        <v>42</v>
      </c>
      <c r="D5" s="31" t="s">
        <v>43</v>
      </c>
      <c r="E5" s="33"/>
      <c r="G5" s="31" t="s">
        <v>44</v>
      </c>
      <c r="H5" s="31" t="s">
        <v>39</v>
      </c>
      <c r="K5" s="35"/>
    </row>
    <row r="6" spans="1:19" ht="15" customHeight="1">
      <c r="A6" s="36">
        <v>5</v>
      </c>
      <c r="B6" s="31" t="s">
        <v>48</v>
      </c>
      <c r="C6" s="31" t="s">
        <v>42</v>
      </c>
      <c r="D6" s="31" t="s">
        <v>43</v>
      </c>
      <c r="E6" s="33"/>
      <c r="G6" s="31" t="s">
        <v>44</v>
      </c>
      <c r="H6" s="31" t="s">
        <v>39</v>
      </c>
      <c r="K6" s="35"/>
    </row>
    <row r="7" spans="1:19" ht="15" customHeight="1">
      <c r="A7" s="36">
        <v>6</v>
      </c>
      <c r="B7" s="31" t="s">
        <v>49</v>
      </c>
      <c r="C7" s="31" t="s">
        <v>50</v>
      </c>
      <c r="D7" s="31" t="s">
        <v>43</v>
      </c>
      <c r="G7" s="31" t="s">
        <v>44</v>
      </c>
      <c r="H7" s="31" t="s">
        <v>39</v>
      </c>
      <c r="K7" s="35">
        <v>46001</v>
      </c>
      <c r="P7" s="32" t="s">
        <v>45</v>
      </c>
    </row>
    <row r="8" spans="1:19" ht="15" customHeight="1">
      <c r="A8" s="36">
        <v>7</v>
      </c>
      <c r="B8" s="31" t="s">
        <v>49</v>
      </c>
      <c r="C8" s="31" t="s">
        <v>51</v>
      </c>
      <c r="D8" s="31" t="s">
        <v>43</v>
      </c>
      <c r="G8" s="31" t="s">
        <v>38</v>
      </c>
      <c r="H8" s="31" t="s">
        <v>39</v>
      </c>
      <c r="K8" s="35">
        <v>46001</v>
      </c>
      <c r="P8" s="32" t="s">
        <v>40</v>
      </c>
    </row>
    <row r="9" spans="1:19" ht="15" customHeight="1">
      <c r="A9" s="36">
        <v>8</v>
      </c>
      <c r="B9" s="31" t="s">
        <v>52</v>
      </c>
      <c r="C9" s="31" t="s">
        <v>53</v>
      </c>
      <c r="D9" s="31" t="s">
        <v>54</v>
      </c>
      <c r="G9" s="31" t="s">
        <v>38</v>
      </c>
      <c r="H9" s="31" t="s">
        <v>39</v>
      </c>
      <c r="K9" s="35">
        <v>45707</v>
      </c>
      <c r="P9" s="32" t="s">
        <v>40</v>
      </c>
    </row>
    <row r="10" spans="1:19" ht="15" customHeight="1">
      <c r="A10" s="36">
        <v>9</v>
      </c>
      <c r="B10" s="31" t="s">
        <v>55</v>
      </c>
      <c r="C10" s="31" t="s">
        <v>42</v>
      </c>
      <c r="D10" s="31" t="s">
        <v>56</v>
      </c>
      <c r="G10" s="31" t="s">
        <v>44</v>
      </c>
      <c r="H10" s="31" t="s">
        <v>39</v>
      </c>
      <c r="K10" s="35">
        <v>45965</v>
      </c>
      <c r="P10" s="32" t="s">
        <v>45</v>
      </c>
    </row>
    <row r="11" spans="1:19" ht="15" customHeight="1">
      <c r="A11" s="36">
        <v>10</v>
      </c>
      <c r="B11" s="31" t="s">
        <v>57</v>
      </c>
      <c r="C11" s="31" t="s">
        <v>58</v>
      </c>
      <c r="D11" s="31" t="s">
        <v>59</v>
      </c>
      <c r="G11" s="31" t="s">
        <v>44</v>
      </c>
      <c r="H11" s="31" t="s">
        <v>39</v>
      </c>
      <c r="K11" s="35">
        <v>45965</v>
      </c>
      <c r="P11" s="32" t="s">
        <v>45</v>
      </c>
    </row>
    <row r="12" spans="1:19" ht="15" customHeight="1">
      <c r="A12" s="36">
        <v>11</v>
      </c>
      <c r="B12" s="31" t="s">
        <v>57</v>
      </c>
      <c r="C12" s="31" t="s">
        <v>42</v>
      </c>
      <c r="D12" s="31" t="s">
        <v>59</v>
      </c>
      <c r="G12" s="31" t="s">
        <v>44</v>
      </c>
      <c r="H12" s="31" t="s">
        <v>39</v>
      </c>
      <c r="K12" s="35">
        <v>45965</v>
      </c>
      <c r="P12" s="32" t="s">
        <v>45</v>
      </c>
    </row>
    <row r="13" spans="1:19" ht="15" customHeight="1">
      <c r="A13" s="36">
        <v>12</v>
      </c>
      <c r="B13" s="31" t="s">
        <v>57</v>
      </c>
      <c r="C13" s="31" t="s">
        <v>60</v>
      </c>
      <c r="D13" s="31" t="s">
        <v>59</v>
      </c>
      <c r="G13" s="31" t="s">
        <v>44</v>
      </c>
      <c r="H13" s="31" t="s">
        <v>39</v>
      </c>
      <c r="K13" s="35">
        <v>45965</v>
      </c>
      <c r="P13" s="32" t="s">
        <v>45</v>
      </c>
    </row>
    <row r="14" spans="1:19" ht="15" customHeight="1">
      <c r="A14" s="36">
        <v>13</v>
      </c>
      <c r="B14" s="31" t="s">
        <v>61</v>
      </c>
      <c r="C14" s="31" t="s">
        <v>58</v>
      </c>
      <c r="D14" s="31" t="s">
        <v>59</v>
      </c>
      <c r="G14" s="31" t="s">
        <v>44</v>
      </c>
      <c r="H14" s="31" t="s">
        <v>39</v>
      </c>
      <c r="K14" s="35">
        <v>45965</v>
      </c>
      <c r="P14" s="32" t="s">
        <v>45</v>
      </c>
    </row>
    <row r="15" spans="1:19" ht="15" customHeight="1">
      <c r="A15" s="36">
        <v>14</v>
      </c>
      <c r="B15" s="31" t="s">
        <v>61</v>
      </c>
      <c r="C15" s="31" t="s">
        <v>60</v>
      </c>
      <c r="D15" s="31" t="s">
        <v>59</v>
      </c>
      <c r="G15" s="31" t="s">
        <v>44</v>
      </c>
      <c r="H15" s="31" t="s">
        <v>39</v>
      </c>
      <c r="K15" s="35">
        <v>45965</v>
      </c>
      <c r="P15" s="32" t="s">
        <v>45</v>
      </c>
    </row>
    <row r="16" spans="1:19" ht="15" customHeight="1">
      <c r="A16" s="36">
        <v>15</v>
      </c>
      <c r="B16" s="31" t="s">
        <v>61</v>
      </c>
      <c r="C16" s="31" t="s">
        <v>42</v>
      </c>
      <c r="D16" s="31" t="s">
        <v>59</v>
      </c>
      <c r="G16" s="31" t="s">
        <v>44</v>
      </c>
      <c r="H16" s="31" t="s">
        <v>39</v>
      </c>
      <c r="K16" s="35">
        <v>45965</v>
      </c>
      <c r="P16" s="32" t="s">
        <v>45</v>
      </c>
    </row>
    <row r="17" spans="1:16" ht="15" customHeight="1">
      <c r="A17" s="36">
        <v>16</v>
      </c>
      <c r="B17" s="31" t="s">
        <v>62</v>
      </c>
      <c r="C17" s="31" t="s">
        <v>53</v>
      </c>
      <c r="D17" s="31" t="s">
        <v>63</v>
      </c>
      <c r="G17" s="31" t="s">
        <v>44</v>
      </c>
      <c r="H17" s="31" t="s">
        <v>39</v>
      </c>
      <c r="K17" s="35">
        <v>45896</v>
      </c>
      <c r="P17" s="32" t="s">
        <v>45</v>
      </c>
    </row>
    <row r="18" spans="1:16" ht="15" customHeight="1">
      <c r="A18" s="36">
        <v>17</v>
      </c>
      <c r="B18" s="31" t="s">
        <v>62</v>
      </c>
      <c r="C18" s="31" t="s">
        <v>64</v>
      </c>
      <c r="D18" s="31" t="s">
        <v>63</v>
      </c>
      <c r="G18" s="31" t="s">
        <v>44</v>
      </c>
      <c r="H18" s="31" t="s">
        <v>39</v>
      </c>
      <c r="K18" s="35">
        <v>45896</v>
      </c>
      <c r="P18" s="32" t="s">
        <v>45</v>
      </c>
    </row>
    <row r="19" spans="1:16" ht="15" customHeight="1">
      <c r="A19" s="36">
        <v>18</v>
      </c>
      <c r="B19" s="31" t="s">
        <v>62</v>
      </c>
      <c r="C19" s="31" t="s">
        <v>42</v>
      </c>
      <c r="D19" s="31" t="s">
        <v>63</v>
      </c>
      <c r="G19" s="31" t="s">
        <v>38</v>
      </c>
      <c r="H19" s="31" t="s">
        <v>39</v>
      </c>
      <c r="K19" s="35">
        <v>45896</v>
      </c>
      <c r="P19" s="32" t="s">
        <v>40</v>
      </c>
    </row>
    <row r="20" spans="1:16" ht="15" customHeight="1">
      <c r="A20" s="36">
        <v>19</v>
      </c>
      <c r="B20" s="31" t="s">
        <v>65</v>
      </c>
      <c r="C20" s="31" t="s">
        <v>42</v>
      </c>
      <c r="D20" s="31" t="s">
        <v>66</v>
      </c>
      <c r="G20" s="31" t="s">
        <v>38</v>
      </c>
      <c r="H20" s="31" t="s">
        <v>39</v>
      </c>
      <c r="K20" s="35">
        <v>45896</v>
      </c>
      <c r="P20" s="32" t="s">
        <v>40</v>
      </c>
    </row>
    <row r="21" spans="1:16" ht="15" customHeight="1">
      <c r="A21" s="36">
        <v>20</v>
      </c>
      <c r="B21" s="31" t="s">
        <v>67</v>
      </c>
      <c r="C21" s="31" t="s">
        <v>68</v>
      </c>
      <c r="D21" s="31" t="s">
        <v>63</v>
      </c>
      <c r="G21" s="31" t="s">
        <v>38</v>
      </c>
      <c r="H21" s="31" t="s">
        <v>39</v>
      </c>
      <c r="K21" s="35">
        <v>45859</v>
      </c>
      <c r="P21" s="32" t="s">
        <v>40</v>
      </c>
    </row>
    <row r="22" spans="1:16" ht="15" customHeight="1">
      <c r="A22" s="36">
        <v>21</v>
      </c>
      <c r="B22" s="31" t="s">
        <v>67</v>
      </c>
      <c r="C22" s="31" t="s">
        <v>53</v>
      </c>
      <c r="D22" s="31" t="s">
        <v>54</v>
      </c>
      <c r="G22" s="31" t="s">
        <v>38</v>
      </c>
      <c r="H22" s="31" t="s">
        <v>39</v>
      </c>
      <c r="K22" s="35">
        <v>45859</v>
      </c>
      <c r="P22" s="32" t="s">
        <v>40</v>
      </c>
    </row>
    <row r="23" spans="1:16" ht="15" customHeight="1">
      <c r="A23" s="36">
        <v>22</v>
      </c>
      <c r="B23" s="31" t="s">
        <v>69</v>
      </c>
      <c r="C23" s="31" t="s">
        <v>42</v>
      </c>
      <c r="D23" s="31" t="s">
        <v>37</v>
      </c>
      <c r="G23" s="31" t="s">
        <v>44</v>
      </c>
      <c r="H23" s="31" t="s">
        <v>39</v>
      </c>
      <c r="K23" s="35">
        <v>45846</v>
      </c>
      <c r="P23" s="32" t="s">
        <v>45</v>
      </c>
    </row>
    <row r="24" spans="1:16" ht="15" customHeight="1">
      <c r="A24" s="36">
        <v>23</v>
      </c>
      <c r="B24" s="31" t="s">
        <v>70</v>
      </c>
      <c r="C24" s="31" t="s">
        <v>71</v>
      </c>
      <c r="D24" s="31" t="s">
        <v>63</v>
      </c>
      <c r="G24" s="31" t="s">
        <v>44</v>
      </c>
      <c r="H24" s="31" t="s">
        <v>39</v>
      </c>
      <c r="K24" s="35">
        <v>45814</v>
      </c>
      <c r="P24" s="32" t="s">
        <v>45</v>
      </c>
    </row>
    <row r="25" spans="1:16" ht="15" customHeight="1">
      <c r="A25" s="36">
        <v>24</v>
      </c>
      <c r="B25" s="31" t="s">
        <v>72</v>
      </c>
      <c r="C25" s="31" t="s">
        <v>42</v>
      </c>
      <c r="D25" s="31" t="s">
        <v>66</v>
      </c>
      <c r="G25" s="31" t="s">
        <v>38</v>
      </c>
      <c r="H25" s="31" t="s">
        <v>39</v>
      </c>
      <c r="K25" s="35">
        <v>46071</v>
      </c>
      <c r="P25" s="32" t="s">
        <v>40</v>
      </c>
    </row>
    <row r="26" spans="1:16" ht="15" customHeight="1">
      <c r="A26" s="36">
        <v>25</v>
      </c>
      <c r="B26" s="31" t="s">
        <v>73</v>
      </c>
      <c r="C26" s="31" t="s">
        <v>42</v>
      </c>
      <c r="D26" s="31" t="s">
        <v>43</v>
      </c>
      <c r="G26" s="31" t="s">
        <v>44</v>
      </c>
      <c r="H26" s="31" t="s">
        <v>39</v>
      </c>
      <c r="K26" s="35">
        <v>46071</v>
      </c>
      <c r="P26" s="32" t="s">
        <v>45</v>
      </c>
    </row>
    <row r="27" spans="1:16" ht="15" customHeight="1">
      <c r="A27" s="36">
        <v>26</v>
      </c>
      <c r="B27" s="31" t="s">
        <v>74</v>
      </c>
      <c r="C27" s="31" t="s">
        <v>75</v>
      </c>
      <c r="D27" s="31" t="s">
        <v>76</v>
      </c>
      <c r="G27" s="31" t="s">
        <v>38</v>
      </c>
      <c r="H27" s="31" t="s">
        <v>39</v>
      </c>
      <c r="K27" s="35">
        <v>46090</v>
      </c>
      <c r="P27" s="32" t="s">
        <v>40</v>
      </c>
    </row>
    <row r="28" spans="1:16" ht="15" customHeight="1">
      <c r="A28" s="36">
        <v>27</v>
      </c>
      <c r="B28" s="31" t="s">
        <v>77</v>
      </c>
      <c r="C28" s="31" t="s">
        <v>78</v>
      </c>
      <c r="D28" s="31" t="s">
        <v>79</v>
      </c>
      <c r="G28" s="31" t="s">
        <v>38</v>
      </c>
      <c r="H28" s="31" t="s">
        <v>39</v>
      </c>
      <c r="K28" s="35">
        <v>46094</v>
      </c>
      <c r="P28" s="32" t="s">
        <v>40</v>
      </c>
    </row>
    <row r="29" spans="1:16" ht="15" customHeight="1">
      <c r="A29" s="36">
        <v>28</v>
      </c>
      <c r="B29" s="31" t="s">
        <v>80</v>
      </c>
      <c r="C29" s="31" t="s">
        <v>81</v>
      </c>
      <c r="D29" s="31" t="s">
        <v>37</v>
      </c>
      <c r="G29" s="31" t="s">
        <v>38</v>
      </c>
      <c r="H29" s="31" t="s">
        <v>39</v>
      </c>
      <c r="K29" s="35">
        <v>46104</v>
      </c>
      <c r="P29" s="32" t="s">
        <v>40</v>
      </c>
    </row>
    <row r="30" spans="1:16" ht="15" customHeight="1">
      <c r="A30" s="36">
        <v>29</v>
      </c>
      <c r="B30" s="31" t="s">
        <v>82</v>
      </c>
      <c r="C30" s="31" t="s">
        <v>83</v>
      </c>
      <c r="D30" s="31" t="s">
        <v>76</v>
      </c>
      <c r="G30" s="31" t="s">
        <v>38</v>
      </c>
      <c r="H30" s="31" t="s">
        <v>39</v>
      </c>
      <c r="K30" s="35">
        <v>46104</v>
      </c>
      <c r="P30" s="32" t="s">
        <v>40</v>
      </c>
    </row>
    <row r="31" spans="1:16" ht="15" customHeight="1">
      <c r="A31" s="36">
        <v>30</v>
      </c>
      <c r="B31" s="31" t="s">
        <v>84</v>
      </c>
      <c r="C31" s="31" t="s">
        <v>85</v>
      </c>
      <c r="D31" s="31" t="s">
        <v>86</v>
      </c>
      <c r="G31" s="31" t="s">
        <v>44</v>
      </c>
      <c r="H31" s="31" t="s">
        <v>39</v>
      </c>
      <c r="J31" s="31" t="s">
        <v>87</v>
      </c>
      <c r="K31" s="35">
        <v>46115</v>
      </c>
      <c r="P31" s="32" t="s">
        <v>45</v>
      </c>
    </row>
    <row r="32" spans="1:16" ht="15" customHeight="1">
      <c r="A32" s="36">
        <v>31</v>
      </c>
      <c r="B32" s="31" t="s">
        <v>84</v>
      </c>
      <c r="C32" s="31" t="s">
        <v>42</v>
      </c>
      <c r="D32" s="31" t="s">
        <v>86</v>
      </c>
      <c r="G32" s="31" t="s">
        <v>44</v>
      </c>
      <c r="H32" s="31" t="s">
        <v>39</v>
      </c>
      <c r="J32" s="31" t="s">
        <v>87</v>
      </c>
      <c r="K32" s="35">
        <v>46115</v>
      </c>
      <c r="P32" s="32" t="s">
        <v>45</v>
      </c>
    </row>
    <row r="33" spans="1:19" ht="15" customHeight="1">
      <c r="A33" s="36">
        <v>32</v>
      </c>
      <c r="B33" s="31" t="s">
        <v>88</v>
      </c>
      <c r="C33" s="31" t="s">
        <v>42</v>
      </c>
      <c r="D33" s="31" t="s">
        <v>89</v>
      </c>
      <c r="G33" s="31" t="s">
        <v>38</v>
      </c>
      <c r="H33" s="31" t="s">
        <v>39</v>
      </c>
      <c r="K33" s="35">
        <v>46118</v>
      </c>
      <c r="P33" s="32" t="s">
        <v>40</v>
      </c>
    </row>
    <row r="34" spans="1:19" ht="15" customHeight="1">
      <c r="A34" s="36">
        <v>33</v>
      </c>
      <c r="B34" s="31" t="s">
        <v>90</v>
      </c>
      <c r="C34" s="31" t="s">
        <v>42</v>
      </c>
      <c r="D34" s="31" t="s">
        <v>76</v>
      </c>
      <c r="G34" s="31" t="s">
        <v>38</v>
      </c>
      <c r="H34" s="31" t="s">
        <v>39</v>
      </c>
      <c r="J34" s="31" t="s">
        <v>91</v>
      </c>
      <c r="K34" s="35">
        <v>46119</v>
      </c>
      <c r="P34" s="32" t="s">
        <v>40</v>
      </c>
    </row>
    <row r="35" spans="1:19" ht="15" customHeight="1">
      <c r="A35" s="36">
        <v>34</v>
      </c>
      <c r="B35" s="31" t="s">
        <v>92</v>
      </c>
      <c r="C35" s="31" t="s">
        <v>42</v>
      </c>
      <c r="D35" s="31" t="s">
        <v>37</v>
      </c>
      <c r="G35" s="31" t="s">
        <v>38</v>
      </c>
      <c r="H35" s="31" t="s">
        <v>39</v>
      </c>
      <c r="J35" s="31" t="s">
        <v>93</v>
      </c>
      <c r="K35" s="35">
        <v>46127</v>
      </c>
      <c r="P35" s="32" t="s">
        <v>40</v>
      </c>
    </row>
    <row r="36" spans="1:19" ht="15" customHeight="1">
      <c r="A36" s="36">
        <v>35</v>
      </c>
      <c r="B36" s="31" t="s">
        <v>94</v>
      </c>
      <c r="C36" s="31" t="s">
        <v>95</v>
      </c>
      <c r="D36" s="31" t="s">
        <v>96</v>
      </c>
      <c r="G36" s="31" t="s">
        <v>38</v>
      </c>
      <c r="H36" s="31" t="s">
        <v>39</v>
      </c>
      <c r="J36" s="31" t="s">
        <v>97</v>
      </c>
      <c r="K36" s="35">
        <v>46127</v>
      </c>
      <c r="P36" s="32" t="s">
        <v>40</v>
      </c>
    </row>
    <row r="37" spans="1:19" ht="15" customHeight="1">
      <c r="A37" s="36">
        <v>36</v>
      </c>
      <c r="B37" s="31" t="s">
        <v>94</v>
      </c>
      <c r="C37" s="31" t="s">
        <v>42</v>
      </c>
      <c r="D37" s="31" t="s">
        <v>96</v>
      </c>
      <c r="G37" s="31" t="s">
        <v>38</v>
      </c>
      <c r="H37" s="31" t="s">
        <v>39</v>
      </c>
      <c r="J37" s="31" t="s">
        <v>97</v>
      </c>
      <c r="K37" s="35">
        <v>46127</v>
      </c>
      <c r="P37" s="32" t="s">
        <v>40</v>
      </c>
    </row>
    <row r="38" spans="1:19" ht="15" customHeight="1">
      <c r="A38" s="36">
        <v>37</v>
      </c>
      <c r="B38" s="31" t="s">
        <v>94</v>
      </c>
      <c r="C38" s="31" t="s">
        <v>58</v>
      </c>
      <c r="D38" s="31" t="s">
        <v>96</v>
      </c>
      <c r="G38" s="31" t="s">
        <v>38</v>
      </c>
      <c r="H38" s="31" t="s">
        <v>39</v>
      </c>
      <c r="J38" s="31" t="s">
        <v>97</v>
      </c>
      <c r="K38" s="35">
        <v>46127</v>
      </c>
      <c r="P38" s="32" t="s">
        <v>40</v>
      </c>
    </row>
    <row r="39" spans="1:19" ht="15" customHeight="1">
      <c r="A39" s="36">
        <v>38</v>
      </c>
      <c r="B39" s="31" t="s">
        <v>98</v>
      </c>
      <c r="C39" s="31" t="s">
        <v>99</v>
      </c>
      <c r="D39" s="31" t="s">
        <v>66</v>
      </c>
      <c r="G39" s="31" t="s">
        <v>44</v>
      </c>
      <c r="H39" s="31" t="s">
        <v>39</v>
      </c>
      <c r="K39" s="35">
        <v>46129</v>
      </c>
      <c r="P39" s="32" t="s">
        <v>45</v>
      </c>
    </row>
    <row r="40" spans="1:19" s="39" customFormat="1" ht="15" customHeight="1">
      <c r="A40" s="37">
        <v>39</v>
      </c>
      <c r="B40" s="38" t="s">
        <v>100</v>
      </c>
      <c r="C40" s="38" t="s">
        <v>101</v>
      </c>
      <c r="D40" s="38" t="s">
        <v>102</v>
      </c>
      <c r="E40" s="38"/>
      <c r="F40" s="38"/>
      <c r="G40" s="38" t="s">
        <v>103</v>
      </c>
      <c r="H40" s="38" t="s">
        <v>39</v>
      </c>
      <c r="I40" s="38" t="s">
        <v>104</v>
      </c>
      <c r="J40" s="38" t="s">
        <v>97</v>
      </c>
      <c r="K40" s="43">
        <v>46133</v>
      </c>
      <c r="L40" s="38"/>
      <c r="M40" s="38"/>
      <c r="N40" s="38"/>
      <c r="O40" s="38"/>
      <c r="P40" s="47" t="s">
        <v>45</v>
      </c>
      <c r="Q40" s="38"/>
      <c r="R40" s="38"/>
      <c r="S40" s="38"/>
    </row>
    <row r="41" spans="1:19" s="39" customFormat="1" ht="15" customHeight="1">
      <c r="A41" s="37">
        <v>40</v>
      </c>
      <c r="B41" s="38" t="s">
        <v>105</v>
      </c>
      <c r="C41" s="38" t="s">
        <v>101</v>
      </c>
      <c r="D41" s="38" t="s">
        <v>102</v>
      </c>
      <c r="E41" s="38"/>
      <c r="F41" s="38"/>
      <c r="G41" s="38" t="s">
        <v>103</v>
      </c>
      <c r="H41" s="38" t="s">
        <v>39</v>
      </c>
      <c r="I41" s="38" t="s">
        <v>104</v>
      </c>
      <c r="J41" s="38" t="s">
        <v>97</v>
      </c>
      <c r="K41" s="43">
        <v>46133</v>
      </c>
      <c r="L41" s="38"/>
      <c r="M41" s="38"/>
      <c r="N41" s="38"/>
      <c r="O41" s="38"/>
      <c r="P41" s="47" t="s">
        <v>45</v>
      </c>
      <c r="Q41" s="38"/>
      <c r="R41" s="38"/>
      <c r="S41" s="38"/>
    </row>
    <row r="42" spans="1:19" ht="15" customHeight="1">
      <c r="A42" s="36">
        <v>41</v>
      </c>
      <c r="B42" s="31" t="s">
        <v>106</v>
      </c>
      <c r="C42" s="31" t="s">
        <v>99</v>
      </c>
      <c r="D42" s="31" t="s">
        <v>37</v>
      </c>
      <c r="G42" s="31" t="s">
        <v>107</v>
      </c>
      <c r="H42" s="31" t="s">
        <v>39</v>
      </c>
      <c r="J42" s="31" t="s">
        <v>97</v>
      </c>
      <c r="K42" s="35">
        <v>46134</v>
      </c>
      <c r="P42" s="32" t="s">
        <v>45</v>
      </c>
    </row>
    <row r="43" spans="1:19" ht="15" customHeight="1">
      <c r="A43" s="36">
        <v>42</v>
      </c>
      <c r="B43" s="31" t="s">
        <v>108</v>
      </c>
      <c r="C43" s="31" t="s">
        <v>109</v>
      </c>
      <c r="D43" s="31" t="s">
        <v>37</v>
      </c>
      <c r="G43" s="31" t="s">
        <v>38</v>
      </c>
      <c r="H43" s="31" t="s">
        <v>39</v>
      </c>
      <c r="J43" s="31" t="s">
        <v>97</v>
      </c>
      <c r="K43" s="35">
        <v>46154</v>
      </c>
      <c r="P43" s="32" t="s">
        <v>40</v>
      </c>
    </row>
    <row r="44" spans="1:19" ht="15" customHeight="1">
      <c r="A44" s="36">
        <v>43</v>
      </c>
      <c r="B44" s="31" t="s">
        <v>110</v>
      </c>
      <c r="C44" s="31" t="s">
        <v>60</v>
      </c>
      <c r="D44" s="31" t="s">
        <v>54</v>
      </c>
      <c r="G44" s="31" t="s">
        <v>38</v>
      </c>
      <c r="H44" s="31" t="s">
        <v>39</v>
      </c>
      <c r="K44" s="35">
        <v>46061</v>
      </c>
      <c r="P44" s="32" t="s">
        <v>40</v>
      </c>
    </row>
    <row r="45" spans="1:19" ht="15" customHeight="1">
      <c r="A45" s="36">
        <v>44</v>
      </c>
      <c r="B45" s="31" t="s">
        <v>111</v>
      </c>
      <c r="C45" s="31" t="s">
        <v>109</v>
      </c>
      <c r="D45" s="31" t="s">
        <v>37</v>
      </c>
      <c r="G45" s="31" t="s">
        <v>38</v>
      </c>
      <c r="H45" s="31" t="s">
        <v>39</v>
      </c>
      <c r="K45" s="35">
        <v>46099</v>
      </c>
      <c r="P45" s="32" t="s">
        <v>40</v>
      </c>
    </row>
    <row r="46" spans="1:19" ht="15" customHeight="1">
      <c r="A46" s="36">
        <v>45</v>
      </c>
      <c r="B46" s="31" t="s">
        <v>112</v>
      </c>
      <c r="C46" s="31" t="s">
        <v>75</v>
      </c>
      <c r="D46" s="31" t="s">
        <v>37</v>
      </c>
      <c r="G46" s="31" t="s">
        <v>38</v>
      </c>
      <c r="H46" s="31" t="s">
        <v>39</v>
      </c>
      <c r="K46" s="35">
        <v>45966</v>
      </c>
      <c r="P46" s="32" t="s">
        <v>40</v>
      </c>
    </row>
    <row r="47" spans="1:19" ht="15" customHeight="1">
      <c r="A47" s="36">
        <v>46</v>
      </c>
      <c r="B47" s="31" t="s">
        <v>113</v>
      </c>
      <c r="C47" s="31" t="s">
        <v>60</v>
      </c>
      <c r="D47" s="31" t="s">
        <v>76</v>
      </c>
      <c r="G47" s="31" t="s">
        <v>38</v>
      </c>
      <c r="H47" s="31" t="s">
        <v>39</v>
      </c>
      <c r="K47" s="35" t="s">
        <v>114</v>
      </c>
      <c r="P47" s="32" t="s">
        <v>40</v>
      </c>
    </row>
    <row r="48" spans="1:19" ht="15" customHeight="1">
      <c r="A48" s="36">
        <v>47</v>
      </c>
      <c r="B48" s="31" t="s">
        <v>115</v>
      </c>
      <c r="C48" s="31" t="s">
        <v>75</v>
      </c>
      <c r="D48" s="31" t="s">
        <v>37</v>
      </c>
      <c r="G48" s="31" t="s">
        <v>38</v>
      </c>
      <c r="H48" s="31" t="s">
        <v>39</v>
      </c>
      <c r="K48" s="35" t="s">
        <v>116</v>
      </c>
      <c r="P48" s="32" t="s">
        <v>40</v>
      </c>
    </row>
    <row r="49" spans="1:19" ht="15" customHeight="1">
      <c r="A49" s="36">
        <v>48</v>
      </c>
      <c r="B49" s="31" t="s">
        <v>117</v>
      </c>
      <c r="C49" s="31" t="s">
        <v>118</v>
      </c>
      <c r="D49" s="31" t="s">
        <v>37</v>
      </c>
      <c r="G49" s="31" t="s">
        <v>38</v>
      </c>
      <c r="H49" s="31" t="s">
        <v>39</v>
      </c>
      <c r="K49" s="35" t="s">
        <v>119</v>
      </c>
      <c r="P49" s="32" t="s">
        <v>40</v>
      </c>
    </row>
    <row r="50" spans="1:19" ht="15" customHeight="1">
      <c r="A50" s="36">
        <v>49</v>
      </c>
      <c r="B50" s="31" t="s">
        <v>120</v>
      </c>
      <c r="C50" s="31" t="s">
        <v>75</v>
      </c>
      <c r="D50" s="31" t="s">
        <v>37</v>
      </c>
      <c r="G50" s="31" t="s">
        <v>38</v>
      </c>
      <c r="H50" s="31" t="s">
        <v>39</v>
      </c>
      <c r="K50" s="35">
        <v>45908</v>
      </c>
      <c r="P50" s="32" t="s">
        <v>40</v>
      </c>
    </row>
    <row r="51" spans="1:19" ht="15" customHeight="1">
      <c r="A51" s="36">
        <v>50</v>
      </c>
      <c r="B51" s="31" t="s">
        <v>121</v>
      </c>
      <c r="C51" s="31" t="s">
        <v>75</v>
      </c>
      <c r="D51" s="31" t="s">
        <v>76</v>
      </c>
      <c r="G51" s="31" t="s">
        <v>38</v>
      </c>
      <c r="H51" s="31" t="s">
        <v>39</v>
      </c>
      <c r="K51" s="35">
        <v>46063</v>
      </c>
      <c r="P51" s="32" t="s">
        <v>40</v>
      </c>
    </row>
    <row r="52" spans="1:19" ht="15" customHeight="1">
      <c r="A52" s="36">
        <v>51</v>
      </c>
      <c r="B52" s="31" t="s">
        <v>98</v>
      </c>
      <c r="C52" s="31" t="s">
        <v>75</v>
      </c>
      <c r="D52" s="31" t="s">
        <v>37</v>
      </c>
      <c r="G52" s="31" t="s">
        <v>38</v>
      </c>
      <c r="H52" s="31" t="s">
        <v>39</v>
      </c>
      <c r="J52" s="31" t="s">
        <v>122</v>
      </c>
      <c r="K52" s="35">
        <v>46160</v>
      </c>
      <c r="P52" s="32" t="s">
        <v>40</v>
      </c>
    </row>
    <row r="53" spans="1:19" ht="15" customHeight="1">
      <c r="A53" s="36">
        <v>52</v>
      </c>
      <c r="B53" s="31" t="s">
        <v>123</v>
      </c>
      <c r="C53" s="31" t="s">
        <v>75</v>
      </c>
      <c r="D53" s="31" t="s">
        <v>37</v>
      </c>
      <c r="G53" s="31" t="s">
        <v>38</v>
      </c>
      <c r="H53" s="31" t="s">
        <v>39</v>
      </c>
      <c r="K53" s="35">
        <v>46167</v>
      </c>
      <c r="P53" s="32" t="s">
        <v>40</v>
      </c>
    </row>
    <row r="54" spans="1:19" ht="15" customHeight="1">
      <c r="A54" s="36">
        <v>53</v>
      </c>
      <c r="B54" s="31" t="s">
        <v>124</v>
      </c>
      <c r="C54" s="31" t="s">
        <v>125</v>
      </c>
      <c r="D54" s="31" t="s">
        <v>86</v>
      </c>
      <c r="F54" s="31" t="s">
        <v>126</v>
      </c>
      <c r="G54" s="31" t="s">
        <v>38</v>
      </c>
      <c r="H54" s="31" t="s">
        <v>39</v>
      </c>
      <c r="J54" s="31" t="s">
        <v>127</v>
      </c>
      <c r="K54" s="35">
        <v>46177</v>
      </c>
      <c r="P54" s="32" t="s">
        <v>45</v>
      </c>
    </row>
    <row r="55" spans="1:19" ht="15" customHeight="1">
      <c r="A55" s="36">
        <v>54</v>
      </c>
      <c r="B55" s="31" t="s">
        <v>128</v>
      </c>
      <c r="C55" s="31" t="s">
        <v>99</v>
      </c>
      <c r="D55" s="31" t="s">
        <v>66</v>
      </c>
      <c r="G55" s="31" t="s">
        <v>38</v>
      </c>
      <c r="H55" s="31" t="s">
        <v>39</v>
      </c>
      <c r="J55" s="31" t="s">
        <v>93</v>
      </c>
      <c r="K55" s="35">
        <v>46181</v>
      </c>
      <c r="P55" s="32" t="s">
        <v>40</v>
      </c>
    </row>
    <row r="56" spans="1:19" ht="15" customHeight="1">
      <c r="A56" s="36">
        <v>55</v>
      </c>
      <c r="B56" s="31" t="s">
        <v>129</v>
      </c>
      <c r="C56" s="31" t="s">
        <v>42</v>
      </c>
      <c r="D56" s="31" t="s">
        <v>130</v>
      </c>
      <c r="G56" s="31" t="s">
        <v>44</v>
      </c>
      <c r="H56" s="31" t="s">
        <v>39</v>
      </c>
      <c r="J56" s="31" t="s">
        <v>131</v>
      </c>
      <c r="K56" s="35">
        <v>46181</v>
      </c>
      <c r="P56" s="32" t="s">
        <v>45</v>
      </c>
    </row>
    <row r="57" spans="1:19" ht="15" customHeight="1">
      <c r="A57" s="36">
        <v>56</v>
      </c>
      <c r="B57" s="31" t="s">
        <v>129</v>
      </c>
      <c r="C57" s="31" t="s">
        <v>60</v>
      </c>
      <c r="D57" s="31" t="s">
        <v>130</v>
      </c>
      <c r="G57" s="31" t="s">
        <v>44</v>
      </c>
      <c r="H57" s="31" t="s">
        <v>39</v>
      </c>
      <c r="J57" s="31" t="s">
        <v>131</v>
      </c>
      <c r="K57" s="35">
        <v>46181</v>
      </c>
      <c r="P57" s="32" t="s">
        <v>45</v>
      </c>
    </row>
    <row r="58" spans="1:19" ht="15" customHeight="1">
      <c r="A58" s="36">
        <v>57</v>
      </c>
      <c r="B58" s="31" t="s">
        <v>129</v>
      </c>
      <c r="C58" s="31" t="s">
        <v>132</v>
      </c>
      <c r="D58" s="31" t="s">
        <v>130</v>
      </c>
      <c r="G58" s="31" t="s">
        <v>44</v>
      </c>
      <c r="H58" s="31" t="s">
        <v>39</v>
      </c>
      <c r="J58" s="31" t="s">
        <v>131</v>
      </c>
      <c r="K58" s="35">
        <v>46181</v>
      </c>
      <c r="P58" s="32" t="s">
        <v>45</v>
      </c>
    </row>
    <row r="59" spans="1:19" ht="15" customHeight="1">
      <c r="A59" s="36">
        <v>58</v>
      </c>
      <c r="B59" s="31" t="s">
        <v>129</v>
      </c>
      <c r="C59" s="31" t="s">
        <v>133</v>
      </c>
      <c r="D59" s="31" t="s">
        <v>130</v>
      </c>
      <c r="G59" s="31" t="s">
        <v>44</v>
      </c>
      <c r="H59" s="31" t="s">
        <v>39</v>
      </c>
      <c r="J59" s="31" t="s">
        <v>131</v>
      </c>
      <c r="K59" s="35">
        <v>46181</v>
      </c>
      <c r="P59" s="32" t="s">
        <v>45</v>
      </c>
    </row>
    <row r="60" spans="1:19" ht="15" customHeight="1">
      <c r="A60" s="36">
        <v>59</v>
      </c>
      <c r="B60" s="31" t="s">
        <v>134</v>
      </c>
      <c r="C60" s="31" t="s">
        <v>135</v>
      </c>
      <c r="D60" s="31" t="s">
        <v>136</v>
      </c>
      <c r="G60" s="31" t="s">
        <v>38</v>
      </c>
      <c r="H60" s="31" t="s">
        <v>39</v>
      </c>
      <c r="J60" s="31" t="s">
        <v>122</v>
      </c>
      <c r="K60" s="35">
        <v>46195</v>
      </c>
      <c r="P60" s="32" t="s">
        <v>40</v>
      </c>
    </row>
    <row r="61" spans="1:19" ht="15" customHeight="1">
      <c r="A61" s="36">
        <v>60</v>
      </c>
      <c r="B61" s="31" t="s">
        <v>137</v>
      </c>
      <c r="C61" s="31" t="s">
        <v>138</v>
      </c>
      <c r="D61" s="31" t="s">
        <v>54</v>
      </c>
      <c r="G61" s="31" t="s">
        <v>44</v>
      </c>
      <c r="H61" s="31" t="s">
        <v>39</v>
      </c>
      <c r="J61" s="31" t="s">
        <v>139</v>
      </c>
      <c r="K61" s="35">
        <v>46202</v>
      </c>
      <c r="P61" s="32" t="s">
        <v>45</v>
      </c>
    </row>
    <row r="62" spans="1:19" ht="15" customHeight="1">
      <c r="A62" s="36">
        <v>61</v>
      </c>
      <c r="B62" s="31" t="s">
        <v>140</v>
      </c>
      <c r="C62" s="31" t="s">
        <v>141</v>
      </c>
      <c r="D62" s="31" t="s">
        <v>43</v>
      </c>
      <c r="G62" s="31" t="s">
        <v>38</v>
      </c>
      <c r="H62" s="31" t="s">
        <v>39</v>
      </c>
      <c r="J62" s="31" t="s">
        <v>122</v>
      </c>
      <c r="K62" s="35">
        <v>46205</v>
      </c>
      <c r="P62" s="32" t="s">
        <v>40</v>
      </c>
    </row>
    <row r="63" spans="1:19" ht="15" customHeight="1">
      <c r="A63" s="36">
        <v>62</v>
      </c>
      <c r="B63" s="31" t="s">
        <v>142</v>
      </c>
      <c r="C63" s="31" t="s">
        <v>60</v>
      </c>
      <c r="D63" s="31" t="s">
        <v>54</v>
      </c>
      <c r="G63" s="31" t="s">
        <v>44</v>
      </c>
      <c r="H63" s="31" t="s">
        <v>39</v>
      </c>
      <c r="J63" s="31" t="s">
        <v>143</v>
      </c>
      <c r="K63" s="35">
        <v>46210</v>
      </c>
      <c r="P63" s="32" t="s">
        <v>45</v>
      </c>
    </row>
    <row r="64" spans="1:19" ht="15" customHeight="1">
      <c r="A64" s="36">
        <v>63</v>
      </c>
      <c r="B64" s="31" t="s">
        <v>144</v>
      </c>
      <c r="C64" s="31" t="s">
        <v>145</v>
      </c>
      <c r="D64" s="31" t="s">
        <v>146</v>
      </c>
      <c r="E64" s="33"/>
      <c r="F64" s="33"/>
      <c r="G64" s="31" t="s">
        <v>38</v>
      </c>
      <c r="H64" s="31" t="s">
        <v>39</v>
      </c>
      <c r="I64" s="33"/>
      <c r="J64" s="31" t="s">
        <v>147</v>
      </c>
      <c r="K64" s="35">
        <v>46210</v>
      </c>
      <c r="L64" s="33"/>
      <c r="M64" s="33"/>
      <c r="N64" s="33"/>
      <c r="O64" s="33"/>
      <c r="P64" s="32" t="s">
        <v>40</v>
      </c>
      <c r="Q64" s="33"/>
      <c r="R64" s="33"/>
      <c r="S64" s="33"/>
    </row>
    <row r="65" spans="1:19" ht="15" customHeight="1">
      <c r="A65" s="36">
        <v>64</v>
      </c>
      <c r="B65" s="31" t="s">
        <v>148</v>
      </c>
      <c r="C65" s="31" t="s">
        <v>149</v>
      </c>
      <c r="D65" s="31" t="s">
        <v>79</v>
      </c>
      <c r="G65" s="31" t="s">
        <v>44</v>
      </c>
      <c r="H65" s="42" t="s">
        <v>150</v>
      </c>
      <c r="K65" s="35">
        <v>46037</v>
      </c>
      <c r="P65" s="32" t="s">
        <v>45</v>
      </c>
    </row>
    <row r="66" spans="1:19" ht="15" customHeight="1">
      <c r="A66" s="36">
        <v>65</v>
      </c>
      <c r="B66" s="31" t="s">
        <v>151</v>
      </c>
      <c r="C66" s="31" t="s">
        <v>149</v>
      </c>
      <c r="D66" s="31" t="s">
        <v>152</v>
      </c>
      <c r="G66" s="31" t="s">
        <v>38</v>
      </c>
      <c r="H66" s="42" t="s">
        <v>150</v>
      </c>
      <c r="K66" s="35">
        <v>46059</v>
      </c>
      <c r="P66" s="32" t="s">
        <v>40</v>
      </c>
    </row>
    <row r="67" spans="1:19" ht="15" customHeight="1">
      <c r="A67" s="36">
        <v>66</v>
      </c>
      <c r="B67" s="31" t="s">
        <v>153</v>
      </c>
      <c r="C67" s="31" t="s">
        <v>149</v>
      </c>
      <c r="D67" s="31" t="s">
        <v>154</v>
      </c>
      <c r="G67" s="31" t="s">
        <v>38</v>
      </c>
      <c r="H67" s="42" t="s">
        <v>150</v>
      </c>
      <c r="K67" s="35">
        <v>46056</v>
      </c>
      <c r="P67" s="32" t="s">
        <v>40</v>
      </c>
    </row>
    <row r="68" spans="1:19" ht="15" customHeight="1">
      <c r="A68" s="36">
        <v>67</v>
      </c>
      <c r="B68" s="31" t="s">
        <v>155</v>
      </c>
      <c r="C68" s="31" t="s">
        <v>156</v>
      </c>
      <c r="D68" s="31" t="s">
        <v>66</v>
      </c>
      <c r="G68" s="31" t="s">
        <v>44</v>
      </c>
      <c r="H68" s="42" t="s">
        <v>150</v>
      </c>
      <c r="K68" s="35">
        <v>45978</v>
      </c>
      <c r="P68" s="32" t="s">
        <v>45</v>
      </c>
    </row>
    <row r="69" spans="1:19" ht="15" customHeight="1">
      <c r="A69" s="36">
        <v>68</v>
      </c>
      <c r="B69" s="31" t="s">
        <v>157</v>
      </c>
      <c r="C69" s="31" t="s">
        <v>156</v>
      </c>
      <c r="D69" s="31" t="s">
        <v>158</v>
      </c>
      <c r="G69" s="31" t="s">
        <v>44</v>
      </c>
      <c r="H69" s="42" t="s">
        <v>150</v>
      </c>
      <c r="K69" s="35">
        <v>45965</v>
      </c>
      <c r="P69" s="32" t="s">
        <v>45</v>
      </c>
    </row>
    <row r="70" spans="1:19" ht="15" customHeight="1">
      <c r="A70" s="36">
        <v>69</v>
      </c>
      <c r="B70" s="31" t="s">
        <v>159</v>
      </c>
      <c r="C70" s="31" t="s">
        <v>156</v>
      </c>
      <c r="D70" s="31" t="s">
        <v>160</v>
      </c>
      <c r="G70" s="31" t="s">
        <v>38</v>
      </c>
      <c r="H70" s="42" t="s">
        <v>150</v>
      </c>
      <c r="K70" s="35">
        <v>45852</v>
      </c>
      <c r="P70" s="32" t="s">
        <v>40</v>
      </c>
    </row>
    <row r="71" spans="1:19" ht="15" customHeight="1">
      <c r="A71" s="36">
        <v>70</v>
      </c>
      <c r="B71" s="31" t="s">
        <v>161</v>
      </c>
      <c r="C71" s="31" t="s">
        <v>149</v>
      </c>
      <c r="D71" s="31" t="s">
        <v>76</v>
      </c>
      <c r="G71" s="31" t="s">
        <v>38</v>
      </c>
      <c r="H71" s="42" t="s">
        <v>150</v>
      </c>
      <c r="K71" s="35">
        <v>45785</v>
      </c>
      <c r="P71" s="32" t="s">
        <v>40</v>
      </c>
    </row>
    <row r="72" spans="1:19" ht="15" customHeight="1">
      <c r="A72" s="36">
        <v>71</v>
      </c>
      <c r="B72" s="31" t="s">
        <v>162</v>
      </c>
      <c r="C72" s="31" t="s">
        <v>149</v>
      </c>
      <c r="D72" s="31" t="s">
        <v>163</v>
      </c>
      <c r="G72" s="31" t="s">
        <v>38</v>
      </c>
      <c r="H72" s="42" t="s">
        <v>150</v>
      </c>
      <c r="K72" s="35">
        <v>46080</v>
      </c>
      <c r="P72" s="32" t="s">
        <v>40</v>
      </c>
    </row>
    <row r="73" spans="1:19" ht="15" customHeight="1">
      <c r="A73" s="36">
        <v>72</v>
      </c>
      <c r="B73" s="31" t="s">
        <v>164</v>
      </c>
      <c r="C73" s="31" t="s">
        <v>149</v>
      </c>
      <c r="D73" s="31" t="s">
        <v>66</v>
      </c>
      <c r="G73" s="31" t="s">
        <v>38</v>
      </c>
      <c r="H73" s="42" t="s">
        <v>150</v>
      </c>
      <c r="K73" s="35">
        <v>46080</v>
      </c>
      <c r="P73" s="32" t="s">
        <v>40</v>
      </c>
    </row>
    <row r="74" spans="1:19" ht="15" customHeight="1">
      <c r="A74" s="36">
        <v>73</v>
      </c>
      <c r="B74" s="31" t="s">
        <v>165</v>
      </c>
      <c r="C74" s="31" t="s">
        <v>149</v>
      </c>
      <c r="D74" s="31" t="s">
        <v>136</v>
      </c>
      <c r="G74" s="31" t="s">
        <v>107</v>
      </c>
      <c r="H74" s="42" t="s">
        <v>150</v>
      </c>
      <c r="K74" s="35">
        <v>46087</v>
      </c>
      <c r="P74" s="32" t="s">
        <v>45</v>
      </c>
    </row>
    <row r="75" spans="1:19" ht="15" customHeight="1">
      <c r="A75" s="36">
        <v>74</v>
      </c>
      <c r="B75" s="31" t="s">
        <v>166</v>
      </c>
      <c r="C75" s="31" t="s">
        <v>149</v>
      </c>
      <c r="D75" s="31" t="s">
        <v>163</v>
      </c>
      <c r="G75" s="31" t="s">
        <v>38</v>
      </c>
      <c r="H75" s="42" t="s">
        <v>150</v>
      </c>
      <c r="K75" s="35">
        <v>46087</v>
      </c>
      <c r="N75" s="35">
        <v>46225</v>
      </c>
      <c r="P75" s="32" t="s">
        <v>40</v>
      </c>
    </row>
    <row r="76" spans="1:19" ht="15" customHeight="1">
      <c r="A76" s="36">
        <v>75</v>
      </c>
      <c r="B76" s="31" t="s">
        <v>167</v>
      </c>
      <c r="C76" s="31" t="s">
        <v>156</v>
      </c>
      <c r="D76" s="31" t="s">
        <v>163</v>
      </c>
      <c r="G76" s="31" t="s">
        <v>38</v>
      </c>
      <c r="H76" s="42" t="s">
        <v>150</v>
      </c>
      <c r="K76" s="35">
        <v>46087</v>
      </c>
      <c r="N76" s="35">
        <v>46224</v>
      </c>
      <c r="P76" s="32" t="s">
        <v>40</v>
      </c>
    </row>
    <row r="77" spans="1:19" ht="15" customHeight="1">
      <c r="A77" s="36">
        <v>76</v>
      </c>
      <c r="B77" s="31" t="s">
        <v>168</v>
      </c>
      <c r="C77" s="31" t="s">
        <v>149</v>
      </c>
      <c r="D77" s="31" t="s">
        <v>63</v>
      </c>
      <c r="G77" s="31" t="s">
        <v>44</v>
      </c>
      <c r="H77" s="42" t="s">
        <v>150</v>
      </c>
      <c r="K77" s="35">
        <v>46094</v>
      </c>
      <c r="P77" s="32" t="s">
        <v>45</v>
      </c>
    </row>
    <row r="78" spans="1:19" s="39" customFormat="1" ht="15" customHeight="1">
      <c r="A78" s="37">
        <v>77</v>
      </c>
      <c r="B78" s="40" t="s">
        <v>169</v>
      </c>
      <c r="C78" s="38" t="s">
        <v>170</v>
      </c>
      <c r="D78" s="38" t="s">
        <v>79</v>
      </c>
      <c r="E78" s="38"/>
      <c r="F78" s="38"/>
      <c r="G78" s="38" t="s">
        <v>103</v>
      </c>
      <c r="H78" s="38" t="s">
        <v>150</v>
      </c>
      <c r="I78" s="38"/>
      <c r="J78" s="38" t="s">
        <v>122</v>
      </c>
      <c r="K78" s="43">
        <v>46098</v>
      </c>
      <c r="L78" s="38"/>
      <c r="M78" s="38"/>
      <c r="N78" s="38"/>
      <c r="O78" s="38"/>
      <c r="P78" s="32" t="s">
        <v>45</v>
      </c>
      <c r="Q78" s="38"/>
      <c r="R78" s="38"/>
      <c r="S78" s="38"/>
    </row>
    <row r="79" spans="1:19" ht="15" customHeight="1">
      <c r="A79" s="36">
        <v>78</v>
      </c>
      <c r="B79" s="31" t="s">
        <v>171</v>
      </c>
      <c r="C79" s="31" t="s">
        <v>149</v>
      </c>
      <c r="D79" s="31" t="s">
        <v>172</v>
      </c>
      <c r="G79" s="31" t="s">
        <v>38</v>
      </c>
      <c r="H79" s="42" t="s">
        <v>150</v>
      </c>
      <c r="K79" s="35">
        <v>46099</v>
      </c>
      <c r="P79" s="32" t="s">
        <v>40</v>
      </c>
    </row>
    <row r="80" spans="1:19" ht="15" customHeight="1">
      <c r="A80" s="36">
        <v>79</v>
      </c>
      <c r="B80" s="31" t="s">
        <v>173</v>
      </c>
      <c r="C80" s="31" t="s">
        <v>149</v>
      </c>
      <c r="D80" s="31" t="s">
        <v>174</v>
      </c>
      <c r="G80" s="31" t="s">
        <v>38</v>
      </c>
      <c r="H80" s="42" t="s">
        <v>150</v>
      </c>
      <c r="K80" s="35">
        <v>46118</v>
      </c>
      <c r="P80" s="32" t="s">
        <v>40</v>
      </c>
    </row>
    <row r="81" spans="1:16" ht="15" customHeight="1">
      <c r="A81" s="36">
        <v>80</v>
      </c>
      <c r="B81" s="31" t="s">
        <v>175</v>
      </c>
      <c r="C81" s="31" t="s">
        <v>149</v>
      </c>
      <c r="D81" s="31" t="s">
        <v>176</v>
      </c>
      <c r="G81" s="31" t="s">
        <v>38</v>
      </c>
      <c r="H81" s="42" t="s">
        <v>150</v>
      </c>
      <c r="J81" s="31" t="s">
        <v>152</v>
      </c>
      <c r="K81" s="35">
        <v>46118</v>
      </c>
      <c r="P81" s="32" t="s">
        <v>40</v>
      </c>
    </row>
    <row r="82" spans="1:16" ht="15" customHeight="1">
      <c r="A82" s="36">
        <v>81</v>
      </c>
      <c r="B82" s="31" t="s">
        <v>177</v>
      </c>
      <c r="C82" s="31" t="s">
        <v>178</v>
      </c>
      <c r="D82" s="31" t="s">
        <v>66</v>
      </c>
      <c r="G82" s="31" t="s">
        <v>38</v>
      </c>
      <c r="H82" s="42" t="s">
        <v>150</v>
      </c>
      <c r="K82" s="35">
        <v>46119</v>
      </c>
      <c r="P82" s="32" t="s">
        <v>40</v>
      </c>
    </row>
    <row r="83" spans="1:16" ht="15" customHeight="1">
      <c r="A83" s="36">
        <v>82</v>
      </c>
      <c r="B83" s="31" t="s">
        <v>177</v>
      </c>
      <c r="C83" s="31" t="s">
        <v>179</v>
      </c>
      <c r="D83" s="31" t="s">
        <v>66</v>
      </c>
      <c r="G83" s="31" t="s">
        <v>38</v>
      </c>
      <c r="H83" s="42" t="s">
        <v>150</v>
      </c>
      <c r="K83" s="35">
        <v>46119</v>
      </c>
      <c r="P83" s="32" t="s">
        <v>40</v>
      </c>
    </row>
    <row r="84" spans="1:16" ht="15" customHeight="1">
      <c r="A84" s="36">
        <v>83</v>
      </c>
      <c r="B84" s="31" t="s">
        <v>180</v>
      </c>
      <c r="C84" s="31" t="s">
        <v>181</v>
      </c>
      <c r="D84" s="31" t="s">
        <v>182</v>
      </c>
      <c r="G84" s="31" t="s">
        <v>38</v>
      </c>
      <c r="H84" s="42" t="s">
        <v>150</v>
      </c>
      <c r="K84" s="35">
        <v>46115</v>
      </c>
      <c r="P84" s="32" t="s">
        <v>40</v>
      </c>
    </row>
    <row r="85" spans="1:16" ht="15" customHeight="1">
      <c r="A85" s="36">
        <v>84</v>
      </c>
      <c r="B85" s="31" t="s">
        <v>183</v>
      </c>
      <c r="C85" s="31" t="s">
        <v>170</v>
      </c>
      <c r="D85" s="31" t="s">
        <v>54</v>
      </c>
      <c r="G85" s="31" t="s">
        <v>44</v>
      </c>
      <c r="H85" s="42" t="s">
        <v>150</v>
      </c>
      <c r="J85" s="31" t="s">
        <v>184</v>
      </c>
      <c r="K85" s="35">
        <v>46126</v>
      </c>
      <c r="P85" s="32" t="s">
        <v>45</v>
      </c>
    </row>
    <row r="86" spans="1:16" ht="15" customHeight="1">
      <c r="A86" s="36">
        <v>85</v>
      </c>
      <c r="B86" s="31" t="s">
        <v>183</v>
      </c>
      <c r="C86" s="31" t="s">
        <v>149</v>
      </c>
      <c r="D86" s="31" t="s">
        <v>54</v>
      </c>
      <c r="G86" s="31" t="s">
        <v>44</v>
      </c>
      <c r="H86" s="42" t="s">
        <v>150</v>
      </c>
      <c r="J86" s="31" t="s">
        <v>184</v>
      </c>
      <c r="K86" s="35">
        <v>46126</v>
      </c>
      <c r="P86" s="32" t="s">
        <v>45</v>
      </c>
    </row>
    <row r="87" spans="1:16" ht="15" customHeight="1">
      <c r="A87" s="36">
        <v>86</v>
      </c>
      <c r="B87" s="31" t="s">
        <v>183</v>
      </c>
      <c r="C87" s="31" t="s">
        <v>156</v>
      </c>
      <c r="D87" s="31" t="s">
        <v>54</v>
      </c>
      <c r="G87" s="31" t="s">
        <v>44</v>
      </c>
      <c r="H87" s="42" t="s">
        <v>150</v>
      </c>
      <c r="I87" s="31" t="s">
        <v>185</v>
      </c>
      <c r="J87" s="31" t="s">
        <v>184</v>
      </c>
      <c r="K87" s="35">
        <v>46126</v>
      </c>
      <c r="P87" s="32" t="s">
        <v>45</v>
      </c>
    </row>
    <row r="88" spans="1:16" ht="15" customHeight="1">
      <c r="A88" s="36">
        <v>87</v>
      </c>
      <c r="B88" s="31" t="s">
        <v>186</v>
      </c>
      <c r="C88" s="31" t="s">
        <v>170</v>
      </c>
      <c r="D88" s="31" t="s">
        <v>187</v>
      </c>
      <c r="G88" s="31" t="s">
        <v>44</v>
      </c>
      <c r="H88" s="42" t="s">
        <v>150</v>
      </c>
      <c r="J88" s="31" t="s">
        <v>188</v>
      </c>
      <c r="K88" s="35">
        <v>46132</v>
      </c>
      <c r="P88" s="32" t="s">
        <v>45</v>
      </c>
    </row>
    <row r="89" spans="1:16" ht="15" customHeight="1">
      <c r="A89" s="36">
        <v>88</v>
      </c>
      <c r="B89" s="31" t="s">
        <v>186</v>
      </c>
      <c r="C89" s="31" t="s">
        <v>149</v>
      </c>
      <c r="D89" s="31" t="s">
        <v>187</v>
      </c>
      <c r="G89" s="31" t="s">
        <v>44</v>
      </c>
      <c r="H89" s="42" t="s">
        <v>150</v>
      </c>
      <c r="J89" s="31" t="s">
        <v>188</v>
      </c>
      <c r="K89" s="35">
        <v>46132</v>
      </c>
      <c r="P89" s="32" t="s">
        <v>45</v>
      </c>
    </row>
    <row r="90" spans="1:16" ht="15" customHeight="1">
      <c r="A90" s="36">
        <v>89</v>
      </c>
      <c r="B90" s="31" t="s">
        <v>189</v>
      </c>
      <c r="C90" s="31" t="s">
        <v>156</v>
      </c>
      <c r="D90" s="31" t="s">
        <v>187</v>
      </c>
      <c r="G90" s="31" t="s">
        <v>44</v>
      </c>
      <c r="H90" s="42" t="s">
        <v>150</v>
      </c>
      <c r="J90" s="31" t="s">
        <v>188</v>
      </c>
      <c r="K90" s="35">
        <v>46132</v>
      </c>
      <c r="P90" s="32" t="s">
        <v>45</v>
      </c>
    </row>
    <row r="91" spans="1:16" ht="15" customHeight="1">
      <c r="A91" s="36">
        <v>90</v>
      </c>
      <c r="B91" s="31" t="s">
        <v>190</v>
      </c>
      <c r="C91" s="31" t="s">
        <v>149</v>
      </c>
      <c r="D91" s="31" t="s">
        <v>54</v>
      </c>
      <c r="G91" s="31" t="s">
        <v>38</v>
      </c>
      <c r="H91" s="42" t="s">
        <v>150</v>
      </c>
      <c r="J91" s="31" t="s">
        <v>188</v>
      </c>
      <c r="K91" s="35">
        <v>46132</v>
      </c>
      <c r="P91" s="32" t="s">
        <v>40</v>
      </c>
    </row>
    <row r="92" spans="1:16" ht="15" customHeight="1">
      <c r="A92" s="36">
        <v>91</v>
      </c>
      <c r="B92" s="31" t="s">
        <v>191</v>
      </c>
      <c r="C92" s="31" t="s">
        <v>149</v>
      </c>
      <c r="D92" s="31" t="s">
        <v>136</v>
      </c>
      <c r="G92" s="31" t="s">
        <v>38</v>
      </c>
      <c r="H92" s="42" t="s">
        <v>150</v>
      </c>
      <c r="K92" s="35">
        <v>46133</v>
      </c>
      <c r="P92" s="32" t="s">
        <v>40</v>
      </c>
    </row>
    <row r="93" spans="1:16" ht="15" customHeight="1">
      <c r="A93" s="36">
        <v>92</v>
      </c>
      <c r="B93" s="31" t="s">
        <v>192</v>
      </c>
      <c r="C93" s="31" t="s">
        <v>149</v>
      </c>
      <c r="D93" s="31" t="s">
        <v>66</v>
      </c>
      <c r="G93" s="31" t="s">
        <v>38</v>
      </c>
      <c r="H93" s="42" t="s">
        <v>150</v>
      </c>
      <c r="K93" s="35">
        <v>46134</v>
      </c>
      <c r="P93" s="32" t="s">
        <v>40</v>
      </c>
    </row>
    <row r="94" spans="1:16" ht="15" customHeight="1">
      <c r="A94" s="36">
        <v>93</v>
      </c>
      <c r="B94" s="31" t="s">
        <v>193</v>
      </c>
      <c r="C94" s="31" t="s">
        <v>149</v>
      </c>
      <c r="D94" s="31" t="s">
        <v>194</v>
      </c>
      <c r="G94" s="31" t="s">
        <v>38</v>
      </c>
      <c r="H94" s="42" t="s">
        <v>150</v>
      </c>
      <c r="K94" s="35">
        <v>46134</v>
      </c>
      <c r="P94" s="32" t="s">
        <v>40</v>
      </c>
    </row>
    <row r="95" spans="1:16" ht="15" customHeight="1">
      <c r="A95" s="36">
        <v>94</v>
      </c>
      <c r="B95" s="31" t="s">
        <v>195</v>
      </c>
      <c r="C95" s="31" t="s">
        <v>149</v>
      </c>
      <c r="D95" s="31" t="s">
        <v>158</v>
      </c>
      <c r="G95" s="31" t="s">
        <v>38</v>
      </c>
      <c r="H95" s="42" t="s">
        <v>150</v>
      </c>
      <c r="K95" s="35">
        <v>46134</v>
      </c>
      <c r="P95" s="32" t="s">
        <v>40</v>
      </c>
    </row>
    <row r="96" spans="1:16" ht="15" customHeight="1">
      <c r="A96" s="36">
        <v>95</v>
      </c>
      <c r="B96" s="31" t="s">
        <v>196</v>
      </c>
      <c r="C96" s="31" t="s">
        <v>149</v>
      </c>
      <c r="D96" s="31" t="s">
        <v>197</v>
      </c>
      <c r="G96" s="31" t="s">
        <v>38</v>
      </c>
      <c r="H96" s="42" t="s">
        <v>150</v>
      </c>
      <c r="J96" s="31" t="s">
        <v>188</v>
      </c>
      <c r="K96" s="35">
        <v>46139</v>
      </c>
      <c r="N96" s="35">
        <v>46232</v>
      </c>
      <c r="P96" s="32" t="s">
        <v>40</v>
      </c>
    </row>
    <row r="97" spans="1:16" ht="15" customHeight="1">
      <c r="A97" s="36">
        <v>96</v>
      </c>
      <c r="B97" s="31" t="s">
        <v>198</v>
      </c>
      <c r="C97" s="31" t="s">
        <v>149</v>
      </c>
      <c r="D97" s="31" t="s">
        <v>79</v>
      </c>
      <c r="G97" s="31" t="s">
        <v>38</v>
      </c>
      <c r="H97" s="42" t="s">
        <v>150</v>
      </c>
      <c r="J97" s="31" t="s">
        <v>93</v>
      </c>
      <c r="K97" s="35">
        <v>46140</v>
      </c>
      <c r="N97" s="35">
        <v>46231</v>
      </c>
      <c r="P97" s="32" t="s">
        <v>40</v>
      </c>
    </row>
    <row r="98" spans="1:16" ht="15" customHeight="1">
      <c r="A98" s="36">
        <v>97</v>
      </c>
      <c r="B98" s="31" t="s">
        <v>199</v>
      </c>
      <c r="C98" s="31" t="s">
        <v>156</v>
      </c>
      <c r="D98" s="31" t="s">
        <v>136</v>
      </c>
      <c r="G98" s="31" t="s">
        <v>38</v>
      </c>
      <c r="H98" s="42" t="s">
        <v>150</v>
      </c>
      <c r="J98" s="31" t="s">
        <v>188</v>
      </c>
      <c r="K98" s="35">
        <v>46140</v>
      </c>
      <c r="N98" s="35">
        <v>46225</v>
      </c>
      <c r="P98" s="32" t="s">
        <v>40</v>
      </c>
    </row>
    <row r="99" spans="1:16" ht="15" customHeight="1">
      <c r="A99" s="36">
        <v>98</v>
      </c>
      <c r="B99" s="31" t="s">
        <v>199</v>
      </c>
      <c r="C99" s="31" t="s">
        <v>149</v>
      </c>
      <c r="D99" s="31" t="s">
        <v>136</v>
      </c>
      <c r="G99" s="31" t="s">
        <v>38</v>
      </c>
      <c r="H99" s="42" t="s">
        <v>150</v>
      </c>
      <c r="J99" s="31" t="s">
        <v>188</v>
      </c>
      <c r="K99" s="35">
        <v>46140</v>
      </c>
      <c r="N99" s="35">
        <v>46218</v>
      </c>
      <c r="P99" s="32" t="s">
        <v>40</v>
      </c>
    </row>
    <row r="100" spans="1:16" ht="15" customHeight="1">
      <c r="A100" s="36">
        <v>99</v>
      </c>
      <c r="B100" s="31" t="s">
        <v>199</v>
      </c>
      <c r="C100" s="31" t="s">
        <v>200</v>
      </c>
      <c r="D100" s="31" t="s">
        <v>136</v>
      </c>
      <c r="G100" s="31" t="s">
        <v>38</v>
      </c>
      <c r="H100" s="42" t="s">
        <v>150</v>
      </c>
      <c r="J100" s="31" t="s">
        <v>188</v>
      </c>
      <c r="K100" s="35">
        <v>46140</v>
      </c>
      <c r="N100" s="35">
        <v>46231</v>
      </c>
      <c r="P100" s="32" t="s">
        <v>40</v>
      </c>
    </row>
    <row r="101" spans="1:16" ht="15" customHeight="1">
      <c r="A101" s="36">
        <v>100</v>
      </c>
      <c r="B101" s="31" t="s">
        <v>201</v>
      </c>
      <c r="C101" s="31" t="s">
        <v>149</v>
      </c>
      <c r="D101" s="31" t="s">
        <v>79</v>
      </c>
      <c r="G101" s="31" t="s">
        <v>38</v>
      </c>
      <c r="H101" s="42" t="s">
        <v>150</v>
      </c>
      <c r="J101" s="31" t="s">
        <v>188</v>
      </c>
      <c r="K101" s="35">
        <v>46093</v>
      </c>
      <c r="P101" s="32" t="s">
        <v>40</v>
      </c>
    </row>
    <row r="102" spans="1:16" ht="15" customHeight="1">
      <c r="A102" s="36">
        <v>101</v>
      </c>
      <c r="B102" s="31" t="s">
        <v>202</v>
      </c>
      <c r="C102" s="31" t="s">
        <v>156</v>
      </c>
      <c r="D102" s="31" t="s">
        <v>152</v>
      </c>
      <c r="G102" s="31" t="s">
        <v>38</v>
      </c>
      <c r="H102" s="42" t="s">
        <v>150</v>
      </c>
      <c r="J102" s="31" t="s">
        <v>184</v>
      </c>
      <c r="K102" s="35">
        <v>46142</v>
      </c>
      <c r="P102" s="32" t="s">
        <v>40</v>
      </c>
    </row>
    <row r="103" spans="1:16" ht="15" customHeight="1">
      <c r="A103" s="36">
        <v>102</v>
      </c>
      <c r="B103" s="31" t="s">
        <v>203</v>
      </c>
      <c r="C103" s="31" t="s">
        <v>156</v>
      </c>
      <c r="D103" s="31" t="s">
        <v>152</v>
      </c>
      <c r="G103" s="31" t="s">
        <v>38</v>
      </c>
      <c r="H103" s="42" t="s">
        <v>150</v>
      </c>
      <c r="J103" s="31" t="s">
        <v>188</v>
      </c>
      <c r="K103" s="35">
        <v>46146</v>
      </c>
      <c r="P103" s="32" t="s">
        <v>40</v>
      </c>
    </row>
    <row r="104" spans="1:16" ht="15" customHeight="1">
      <c r="A104" s="36">
        <v>103</v>
      </c>
      <c r="B104" s="31" t="s">
        <v>204</v>
      </c>
      <c r="C104" s="31" t="s">
        <v>149</v>
      </c>
      <c r="D104" s="31" t="s">
        <v>205</v>
      </c>
      <c r="G104" s="31" t="s">
        <v>38</v>
      </c>
      <c r="H104" s="42" t="s">
        <v>150</v>
      </c>
      <c r="J104" s="31" t="s">
        <v>188</v>
      </c>
      <c r="K104" s="35">
        <v>46042</v>
      </c>
      <c r="P104" s="32" t="s">
        <v>40</v>
      </c>
    </row>
    <row r="105" spans="1:16" ht="15" customHeight="1">
      <c r="A105" s="36">
        <v>104</v>
      </c>
      <c r="B105" s="31" t="s">
        <v>206</v>
      </c>
      <c r="C105" s="31" t="s">
        <v>207</v>
      </c>
      <c r="D105" s="31" t="s">
        <v>37</v>
      </c>
      <c r="G105" s="31" t="s">
        <v>38</v>
      </c>
      <c r="H105" s="42" t="s">
        <v>150</v>
      </c>
      <c r="J105" s="31" t="s">
        <v>147</v>
      </c>
      <c r="K105" s="35">
        <v>46119</v>
      </c>
      <c r="P105" s="32" t="s">
        <v>40</v>
      </c>
    </row>
    <row r="106" spans="1:16" ht="15" customHeight="1">
      <c r="A106" s="36">
        <v>105</v>
      </c>
      <c r="B106" s="31" t="s">
        <v>208</v>
      </c>
      <c r="C106" s="31" t="s">
        <v>85</v>
      </c>
      <c r="D106" s="31" t="s">
        <v>136</v>
      </c>
      <c r="G106" s="31" t="s">
        <v>103</v>
      </c>
      <c r="H106" s="42" t="s">
        <v>150</v>
      </c>
      <c r="J106" s="31" t="s">
        <v>188</v>
      </c>
      <c r="K106" s="35">
        <v>46150</v>
      </c>
      <c r="P106" s="32" t="s">
        <v>45</v>
      </c>
    </row>
    <row r="107" spans="1:16" ht="15" customHeight="1">
      <c r="A107" s="36">
        <v>106</v>
      </c>
      <c r="B107" s="31" t="s">
        <v>208</v>
      </c>
      <c r="C107" s="31" t="s">
        <v>209</v>
      </c>
      <c r="D107" s="31" t="s">
        <v>136</v>
      </c>
      <c r="G107" s="31" t="s">
        <v>103</v>
      </c>
      <c r="H107" s="42" t="s">
        <v>150</v>
      </c>
      <c r="J107" s="31" t="s">
        <v>188</v>
      </c>
      <c r="K107" s="35">
        <v>46150</v>
      </c>
      <c r="P107" s="32" t="s">
        <v>45</v>
      </c>
    </row>
    <row r="108" spans="1:16" ht="15" customHeight="1">
      <c r="A108" s="36">
        <v>107</v>
      </c>
      <c r="B108" s="31" t="s">
        <v>208</v>
      </c>
      <c r="C108" s="31" t="s">
        <v>156</v>
      </c>
      <c r="D108" s="31" t="s">
        <v>136</v>
      </c>
      <c r="G108" s="31" t="s">
        <v>103</v>
      </c>
      <c r="H108" s="42" t="s">
        <v>150</v>
      </c>
      <c r="J108" s="31" t="s">
        <v>188</v>
      </c>
      <c r="K108" s="35">
        <v>46150</v>
      </c>
      <c r="P108" s="32" t="s">
        <v>45</v>
      </c>
    </row>
    <row r="109" spans="1:16" ht="15" customHeight="1">
      <c r="A109" s="36">
        <v>108</v>
      </c>
      <c r="B109" s="31" t="s">
        <v>208</v>
      </c>
      <c r="C109" s="31" t="s">
        <v>149</v>
      </c>
      <c r="D109" s="31" t="s">
        <v>136</v>
      </c>
      <c r="G109" s="31" t="s">
        <v>103</v>
      </c>
      <c r="H109" s="42" t="s">
        <v>150</v>
      </c>
      <c r="J109" s="31" t="s">
        <v>188</v>
      </c>
      <c r="K109" s="35">
        <v>46150</v>
      </c>
      <c r="P109" s="32" t="s">
        <v>45</v>
      </c>
    </row>
    <row r="110" spans="1:16" ht="15" customHeight="1">
      <c r="A110" s="36">
        <v>109</v>
      </c>
      <c r="B110" s="31" t="s">
        <v>210</v>
      </c>
      <c r="C110" s="31" t="s">
        <v>149</v>
      </c>
      <c r="D110" s="31" t="s">
        <v>211</v>
      </c>
      <c r="G110" s="31" t="s">
        <v>38</v>
      </c>
      <c r="H110" s="42" t="s">
        <v>150</v>
      </c>
      <c r="J110" s="31" t="s">
        <v>93</v>
      </c>
      <c r="K110" s="35">
        <v>46153</v>
      </c>
      <c r="P110" s="32" t="s">
        <v>40</v>
      </c>
    </row>
    <row r="111" spans="1:16" ht="15" customHeight="1">
      <c r="A111" s="36">
        <v>110</v>
      </c>
      <c r="B111" s="31" t="s">
        <v>212</v>
      </c>
      <c r="C111" s="31" t="s">
        <v>213</v>
      </c>
      <c r="D111" s="31" t="s">
        <v>211</v>
      </c>
      <c r="G111" s="31" t="s">
        <v>38</v>
      </c>
      <c r="H111" s="42" t="s">
        <v>150</v>
      </c>
      <c r="J111" s="31" t="s">
        <v>93</v>
      </c>
      <c r="K111" s="35">
        <v>46153</v>
      </c>
      <c r="P111" s="32" t="s">
        <v>40</v>
      </c>
    </row>
    <row r="112" spans="1:16" ht="15" customHeight="1">
      <c r="A112" s="36">
        <v>111</v>
      </c>
      <c r="B112" s="31" t="s">
        <v>212</v>
      </c>
      <c r="C112" s="31" t="s">
        <v>209</v>
      </c>
      <c r="D112" s="31" t="s">
        <v>211</v>
      </c>
      <c r="G112" s="31" t="s">
        <v>38</v>
      </c>
      <c r="H112" s="42" t="s">
        <v>150</v>
      </c>
      <c r="J112" s="31" t="s">
        <v>93</v>
      </c>
      <c r="K112" s="35">
        <v>46153</v>
      </c>
      <c r="P112" s="32" t="s">
        <v>40</v>
      </c>
    </row>
    <row r="113" spans="1:16" ht="15" customHeight="1">
      <c r="A113" s="36">
        <v>112</v>
      </c>
      <c r="B113" s="31" t="s">
        <v>214</v>
      </c>
      <c r="C113" s="31" t="s">
        <v>149</v>
      </c>
      <c r="D113" s="31" t="s">
        <v>194</v>
      </c>
      <c r="G113" s="31" t="s">
        <v>38</v>
      </c>
      <c r="H113" s="42" t="s">
        <v>150</v>
      </c>
      <c r="K113" s="35">
        <v>46029</v>
      </c>
      <c r="P113" s="32" t="s">
        <v>40</v>
      </c>
    </row>
    <row r="114" spans="1:16" ht="15" customHeight="1">
      <c r="A114" s="36">
        <v>113</v>
      </c>
      <c r="B114" s="31" t="s">
        <v>215</v>
      </c>
      <c r="C114" s="31" t="s">
        <v>216</v>
      </c>
      <c r="D114" s="31" t="s">
        <v>217</v>
      </c>
      <c r="G114" s="31" t="s">
        <v>38</v>
      </c>
      <c r="H114" s="42" t="s">
        <v>150</v>
      </c>
      <c r="K114" s="35" t="s">
        <v>218</v>
      </c>
      <c r="P114" s="32" t="s">
        <v>40</v>
      </c>
    </row>
    <row r="115" spans="1:16" ht="15" customHeight="1">
      <c r="A115" s="36">
        <v>114</v>
      </c>
      <c r="B115" s="31" t="s">
        <v>219</v>
      </c>
      <c r="C115" s="31" t="s">
        <v>149</v>
      </c>
      <c r="D115" s="31" t="s">
        <v>217</v>
      </c>
      <c r="G115" s="31" t="s">
        <v>38</v>
      </c>
      <c r="H115" s="42" t="s">
        <v>150</v>
      </c>
      <c r="K115" s="35" t="s">
        <v>220</v>
      </c>
      <c r="P115" s="32" t="s">
        <v>40</v>
      </c>
    </row>
    <row r="116" spans="1:16" ht="15" customHeight="1">
      <c r="A116" s="36">
        <v>115</v>
      </c>
      <c r="B116" s="31" t="s">
        <v>221</v>
      </c>
      <c r="C116" s="31" t="s">
        <v>149</v>
      </c>
      <c r="D116" s="31" t="s">
        <v>217</v>
      </c>
      <c r="G116" s="31" t="s">
        <v>38</v>
      </c>
      <c r="H116" s="42" t="s">
        <v>150</v>
      </c>
      <c r="K116" s="35" t="s">
        <v>222</v>
      </c>
      <c r="P116" s="32" t="s">
        <v>40</v>
      </c>
    </row>
    <row r="117" spans="1:16" ht="15" customHeight="1">
      <c r="A117" s="36">
        <v>116</v>
      </c>
      <c r="B117" s="31" t="s">
        <v>223</v>
      </c>
      <c r="C117" s="31" t="s">
        <v>149</v>
      </c>
      <c r="D117" s="31" t="s">
        <v>152</v>
      </c>
      <c r="G117" s="31" t="s">
        <v>38</v>
      </c>
      <c r="H117" s="42" t="s">
        <v>150</v>
      </c>
      <c r="K117" s="35">
        <v>46080</v>
      </c>
      <c r="P117" s="32" t="s">
        <v>40</v>
      </c>
    </row>
    <row r="118" spans="1:16" ht="15" customHeight="1">
      <c r="A118" s="36">
        <v>117</v>
      </c>
      <c r="B118" s="31" t="s">
        <v>224</v>
      </c>
      <c r="C118" s="31" t="s">
        <v>149</v>
      </c>
      <c r="D118" s="31" t="s">
        <v>37</v>
      </c>
      <c r="G118" s="31" t="s">
        <v>38</v>
      </c>
      <c r="H118" s="42" t="s">
        <v>150</v>
      </c>
      <c r="K118" s="35" t="s">
        <v>225</v>
      </c>
      <c r="P118" s="32" t="s">
        <v>40</v>
      </c>
    </row>
    <row r="119" spans="1:16" ht="15" customHeight="1">
      <c r="A119" s="36">
        <v>118</v>
      </c>
      <c r="B119" s="31" t="s">
        <v>226</v>
      </c>
      <c r="C119" s="31" t="s">
        <v>149</v>
      </c>
      <c r="D119" s="31" t="s">
        <v>37</v>
      </c>
      <c r="G119" s="31" t="s">
        <v>38</v>
      </c>
      <c r="H119" s="42" t="s">
        <v>150</v>
      </c>
      <c r="K119" s="35" t="s">
        <v>227</v>
      </c>
      <c r="P119" s="32" t="s">
        <v>40</v>
      </c>
    </row>
    <row r="120" spans="1:16" ht="15" customHeight="1">
      <c r="A120" s="36">
        <v>119</v>
      </c>
      <c r="B120" s="31" t="s">
        <v>228</v>
      </c>
      <c r="C120" s="31" t="s">
        <v>229</v>
      </c>
      <c r="D120" s="31" t="s">
        <v>37</v>
      </c>
      <c r="G120" s="31" t="s">
        <v>38</v>
      </c>
      <c r="H120" s="42" t="s">
        <v>150</v>
      </c>
      <c r="K120" s="35" t="s">
        <v>230</v>
      </c>
      <c r="P120" s="32" t="s">
        <v>40</v>
      </c>
    </row>
    <row r="121" spans="1:16" ht="15" customHeight="1">
      <c r="A121" s="36">
        <v>120</v>
      </c>
      <c r="B121" s="31" t="s">
        <v>231</v>
      </c>
      <c r="C121" s="31" t="s">
        <v>232</v>
      </c>
      <c r="D121" s="31" t="s">
        <v>37</v>
      </c>
      <c r="G121" s="31" t="s">
        <v>38</v>
      </c>
      <c r="H121" s="42" t="s">
        <v>150</v>
      </c>
      <c r="K121" s="35" t="s">
        <v>233</v>
      </c>
      <c r="P121" s="32" t="s">
        <v>40</v>
      </c>
    </row>
    <row r="122" spans="1:16" ht="15" customHeight="1">
      <c r="A122" s="36">
        <v>121</v>
      </c>
      <c r="B122" s="31" t="s">
        <v>234</v>
      </c>
      <c r="C122" s="31" t="s">
        <v>229</v>
      </c>
      <c r="D122" s="31" t="s">
        <v>235</v>
      </c>
      <c r="G122" s="31" t="s">
        <v>38</v>
      </c>
      <c r="H122" s="42" t="s">
        <v>150</v>
      </c>
      <c r="K122" s="35" t="s">
        <v>236</v>
      </c>
      <c r="P122" s="32" t="s">
        <v>40</v>
      </c>
    </row>
    <row r="123" spans="1:16" ht="15" customHeight="1">
      <c r="A123" s="36">
        <v>122</v>
      </c>
      <c r="B123" s="31" t="s">
        <v>237</v>
      </c>
      <c r="C123" s="31" t="s">
        <v>238</v>
      </c>
      <c r="D123" s="31" t="s">
        <v>235</v>
      </c>
      <c r="G123" s="31" t="s">
        <v>38</v>
      </c>
      <c r="H123" s="42" t="s">
        <v>150</v>
      </c>
      <c r="K123" s="35" t="s">
        <v>236</v>
      </c>
      <c r="P123" s="32" t="s">
        <v>40</v>
      </c>
    </row>
    <row r="124" spans="1:16" ht="15" customHeight="1">
      <c r="A124" s="36">
        <v>123</v>
      </c>
      <c r="B124" s="31" t="s">
        <v>239</v>
      </c>
      <c r="C124" s="31" t="s">
        <v>229</v>
      </c>
      <c r="D124" s="31" t="s">
        <v>66</v>
      </c>
      <c r="G124" s="31" t="s">
        <v>38</v>
      </c>
      <c r="H124" s="42" t="s">
        <v>150</v>
      </c>
      <c r="K124" s="35" t="s">
        <v>240</v>
      </c>
      <c r="P124" s="32" t="s">
        <v>40</v>
      </c>
    </row>
    <row r="125" spans="1:16" ht="15" customHeight="1">
      <c r="A125" s="36">
        <v>124</v>
      </c>
      <c r="B125" s="31" t="s">
        <v>241</v>
      </c>
      <c r="C125" s="31" t="s">
        <v>232</v>
      </c>
      <c r="D125" s="31" t="s">
        <v>66</v>
      </c>
      <c r="G125" s="31" t="s">
        <v>38</v>
      </c>
      <c r="H125" s="42" t="s">
        <v>150</v>
      </c>
      <c r="K125" s="35" t="s">
        <v>242</v>
      </c>
      <c r="P125" s="32" t="s">
        <v>40</v>
      </c>
    </row>
    <row r="126" spans="1:16" ht="15" customHeight="1">
      <c r="A126" s="36">
        <v>125</v>
      </c>
      <c r="B126" s="31" t="s">
        <v>243</v>
      </c>
      <c r="C126" s="31" t="s">
        <v>244</v>
      </c>
      <c r="D126" s="31" t="s">
        <v>182</v>
      </c>
      <c r="G126" s="31" t="s">
        <v>38</v>
      </c>
      <c r="H126" s="42" t="s">
        <v>150</v>
      </c>
      <c r="K126" s="35" t="s">
        <v>245</v>
      </c>
      <c r="P126" s="32" t="s">
        <v>40</v>
      </c>
    </row>
    <row r="127" spans="1:16" ht="15" customHeight="1">
      <c r="A127" s="36">
        <v>126</v>
      </c>
      <c r="B127" s="31" t="s">
        <v>246</v>
      </c>
      <c r="C127" s="31" t="s">
        <v>247</v>
      </c>
      <c r="D127" s="31" t="s">
        <v>182</v>
      </c>
      <c r="G127" s="31" t="s">
        <v>38</v>
      </c>
      <c r="H127" s="42" t="s">
        <v>150</v>
      </c>
      <c r="K127" s="35" t="s">
        <v>245</v>
      </c>
      <c r="P127" s="32" t="s">
        <v>40</v>
      </c>
    </row>
    <row r="128" spans="1:16" ht="15" customHeight="1">
      <c r="A128" s="36">
        <v>127</v>
      </c>
      <c r="B128" s="31" t="s">
        <v>246</v>
      </c>
      <c r="C128" s="31" t="s">
        <v>149</v>
      </c>
      <c r="D128" s="31" t="s">
        <v>182</v>
      </c>
      <c r="G128" s="31" t="s">
        <v>38</v>
      </c>
      <c r="H128" s="42" t="s">
        <v>150</v>
      </c>
      <c r="K128" s="35" t="s">
        <v>245</v>
      </c>
      <c r="P128" s="32" t="s">
        <v>40</v>
      </c>
    </row>
    <row r="129" spans="1:19" ht="15" customHeight="1">
      <c r="A129" s="36">
        <v>128</v>
      </c>
      <c r="B129" s="31" t="s">
        <v>246</v>
      </c>
      <c r="C129" s="31" t="s">
        <v>209</v>
      </c>
      <c r="D129" s="31" t="s">
        <v>182</v>
      </c>
      <c r="G129" s="31" t="s">
        <v>38</v>
      </c>
      <c r="H129" s="42" t="s">
        <v>150</v>
      </c>
      <c r="K129" s="35" t="s">
        <v>245</v>
      </c>
      <c r="P129" s="32" t="s">
        <v>40</v>
      </c>
    </row>
    <row r="130" spans="1:19" ht="15" customHeight="1">
      <c r="A130" s="36">
        <v>129</v>
      </c>
      <c r="B130" s="31" t="s">
        <v>248</v>
      </c>
      <c r="C130" s="31" t="s">
        <v>156</v>
      </c>
      <c r="D130" s="31" t="s">
        <v>136</v>
      </c>
      <c r="G130" s="31" t="s">
        <v>38</v>
      </c>
      <c r="H130" s="42" t="s">
        <v>150</v>
      </c>
      <c r="K130" s="35" t="s">
        <v>249</v>
      </c>
      <c r="P130" s="32" t="s">
        <v>40</v>
      </c>
    </row>
    <row r="131" spans="1:19" ht="15" customHeight="1">
      <c r="A131" s="36">
        <v>130</v>
      </c>
      <c r="B131" s="31" t="s">
        <v>250</v>
      </c>
      <c r="C131" s="31" t="s">
        <v>251</v>
      </c>
      <c r="D131" s="31" t="s">
        <v>136</v>
      </c>
      <c r="G131" s="31" t="s">
        <v>38</v>
      </c>
      <c r="H131" s="42" t="s">
        <v>150</v>
      </c>
      <c r="K131" s="35" t="s">
        <v>249</v>
      </c>
      <c r="P131" s="32" t="s">
        <v>40</v>
      </c>
    </row>
    <row r="132" spans="1:19" ht="15" customHeight="1">
      <c r="A132" s="36">
        <v>131</v>
      </c>
      <c r="B132" s="31" t="s">
        <v>252</v>
      </c>
      <c r="C132" s="31" t="s">
        <v>149</v>
      </c>
      <c r="D132" s="31" t="s">
        <v>253</v>
      </c>
      <c r="G132" s="31" t="s">
        <v>38</v>
      </c>
      <c r="H132" s="42" t="s">
        <v>150</v>
      </c>
      <c r="K132" s="35" t="s">
        <v>254</v>
      </c>
      <c r="P132" s="32" t="s">
        <v>40</v>
      </c>
    </row>
    <row r="133" spans="1:19" ht="15" customHeight="1">
      <c r="A133" s="36">
        <v>132</v>
      </c>
      <c r="B133" s="31" t="s">
        <v>255</v>
      </c>
      <c r="C133" s="31" t="s">
        <v>229</v>
      </c>
      <c r="D133" s="31" t="s">
        <v>253</v>
      </c>
      <c r="G133" s="31" t="s">
        <v>38</v>
      </c>
      <c r="H133" s="42" t="s">
        <v>150</v>
      </c>
      <c r="K133" s="35" t="s">
        <v>256</v>
      </c>
      <c r="P133" s="32" t="s">
        <v>40</v>
      </c>
    </row>
    <row r="134" spans="1:19" ht="15" customHeight="1">
      <c r="A134" s="36">
        <v>133</v>
      </c>
      <c r="B134" s="31" t="s">
        <v>257</v>
      </c>
      <c r="C134" s="31" t="s">
        <v>149</v>
      </c>
      <c r="D134" s="31" t="s">
        <v>258</v>
      </c>
      <c r="G134" s="31" t="s">
        <v>38</v>
      </c>
      <c r="H134" s="42" t="s">
        <v>150</v>
      </c>
      <c r="K134" s="35" t="s">
        <v>259</v>
      </c>
      <c r="P134" s="32" t="s">
        <v>40</v>
      </c>
    </row>
    <row r="135" spans="1:19" ht="15" customHeight="1">
      <c r="A135" s="36">
        <v>134</v>
      </c>
      <c r="B135" s="31" t="s">
        <v>260</v>
      </c>
      <c r="C135" s="31" t="s">
        <v>149</v>
      </c>
      <c r="D135" s="31" t="s">
        <v>258</v>
      </c>
      <c r="G135" s="31" t="s">
        <v>38</v>
      </c>
      <c r="H135" s="42" t="s">
        <v>150</v>
      </c>
      <c r="K135" s="35" t="s">
        <v>119</v>
      </c>
      <c r="P135" s="32" t="s">
        <v>40</v>
      </c>
    </row>
    <row r="136" spans="1:19" ht="15" customHeight="1">
      <c r="A136" s="36">
        <v>135</v>
      </c>
      <c r="B136" s="31" t="s">
        <v>261</v>
      </c>
      <c r="C136" s="31" t="s">
        <v>238</v>
      </c>
      <c r="D136" s="31" t="s">
        <v>205</v>
      </c>
      <c r="G136" s="31" t="s">
        <v>44</v>
      </c>
      <c r="H136" s="42" t="s">
        <v>150</v>
      </c>
      <c r="J136" s="31" t="s">
        <v>188</v>
      </c>
      <c r="K136" s="35">
        <v>46155</v>
      </c>
      <c r="P136" s="32" t="s">
        <v>45</v>
      </c>
    </row>
    <row r="137" spans="1:19" ht="15" customHeight="1">
      <c r="A137" s="36">
        <v>136</v>
      </c>
      <c r="B137" s="31" t="s">
        <v>261</v>
      </c>
      <c r="C137" s="31" t="s">
        <v>156</v>
      </c>
      <c r="D137" s="31" t="s">
        <v>205</v>
      </c>
      <c r="G137" s="31" t="s">
        <v>44</v>
      </c>
      <c r="H137" s="42" t="s">
        <v>150</v>
      </c>
      <c r="J137" s="31" t="s">
        <v>188</v>
      </c>
      <c r="K137" s="35">
        <v>46155</v>
      </c>
      <c r="P137" s="32" t="s">
        <v>45</v>
      </c>
    </row>
    <row r="138" spans="1:19" ht="15" customHeight="1">
      <c r="A138" s="36">
        <v>137</v>
      </c>
      <c r="B138" s="31" t="s">
        <v>261</v>
      </c>
      <c r="C138" s="31" t="s">
        <v>149</v>
      </c>
      <c r="D138" s="31" t="s">
        <v>205</v>
      </c>
      <c r="G138" s="31" t="s">
        <v>44</v>
      </c>
      <c r="H138" s="42" t="s">
        <v>150</v>
      </c>
      <c r="J138" s="31" t="s">
        <v>188</v>
      </c>
      <c r="K138" s="35">
        <v>46155</v>
      </c>
      <c r="P138" s="32" t="s">
        <v>45</v>
      </c>
    </row>
    <row r="139" spans="1:19" ht="15" customHeight="1">
      <c r="A139" s="36">
        <v>138</v>
      </c>
      <c r="B139" s="31" t="s">
        <v>262</v>
      </c>
      <c r="C139" s="31" t="s">
        <v>149</v>
      </c>
      <c r="D139" s="31" t="s">
        <v>263</v>
      </c>
      <c r="G139" s="31" t="s">
        <v>44</v>
      </c>
      <c r="H139" s="42" t="s">
        <v>150</v>
      </c>
      <c r="J139" s="31" t="s">
        <v>93</v>
      </c>
      <c r="K139" s="35">
        <v>46157</v>
      </c>
      <c r="P139" s="32" t="s">
        <v>45</v>
      </c>
    </row>
    <row r="140" spans="1:19" ht="15" customHeight="1">
      <c r="A140" s="36">
        <v>139</v>
      </c>
      <c r="B140" s="31" t="s">
        <v>262</v>
      </c>
      <c r="C140" s="31" t="s">
        <v>229</v>
      </c>
      <c r="D140" s="31" t="s">
        <v>263</v>
      </c>
      <c r="G140" s="31" t="s">
        <v>44</v>
      </c>
      <c r="H140" s="42" t="s">
        <v>150</v>
      </c>
      <c r="J140" s="31" t="s">
        <v>93</v>
      </c>
      <c r="K140" s="35">
        <v>46157</v>
      </c>
      <c r="P140" s="32" t="s">
        <v>45</v>
      </c>
    </row>
    <row r="141" spans="1:19" ht="15" customHeight="1">
      <c r="A141" s="36">
        <v>140</v>
      </c>
      <c r="B141" s="31" t="s">
        <v>262</v>
      </c>
      <c r="C141" s="31" t="s">
        <v>251</v>
      </c>
      <c r="D141" s="31" t="s">
        <v>263</v>
      </c>
      <c r="G141" s="31" t="s">
        <v>44</v>
      </c>
      <c r="H141" s="42" t="s">
        <v>150</v>
      </c>
      <c r="J141" s="31" t="s">
        <v>93</v>
      </c>
      <c r="K141" s="35">
        <v>46157</v>
      </c>
      <c r="P141" s="32" t="s">
        <v>45</v>
      </c>
    </row>
    <row r="142" spans="1:19" s="39" customFormat="1" ht="15" customHeight="1">
      <c r="A142" s="37">
        <v>141</v>
      </c>
      <c r="B142" s="38" t="s">
        <v>264</v>
      </c>
      <c r="C142" s="38" t="s">
        <v>265</v>
      </c>
      <c r="D142" s="38" t="s">
        <v>205</v>
      </c>
      <c r="E142" s="38"/>
      <c r="F142" s="38"/>
      <c r="G142" s="38" t="s">
        <v>103</v>
      </c>
      <c r="H142" s="40" t="s">
        <v>150</v>
      </c>
      <c r="I142" s="70" t="s">
        <v>266</v>
      </c>
      <c r="J142" s="38" t="s">
        <v>267</v>
      </c>
      <c r="K142" s="43">
        <v>46161</v>
      </c>
      <c r="L142" s="38"/>
      <c r="M142" s="38"/>
      <c r="N142" s="38"/>
      <c r="O142" s="38"/>
      <c r="P142" s="47" t="s">
        <v>45</v>
      </c>
      <c r="Q142" s="38"/>
      <c r="R142" s="38"/>
      <c r="S142" s="38"/>
    </row>
    <row r="143" spans="1:19" ht="15" customHeight="1">
      <c r="A143" s="36">
        <v>142</v>
      </c>
      <c r="B143" s="31" t="s">
        <v>268</v>
      </c>
      <c r="C143" s="31" t="s">
        <v>229</v>
      </c>
      <c r="D143" s="31" t="s">
        <v>102</v>
      </c>
      <c r="G143" s="31" t="s">
        <v>107</v>
      </c>
      <c r="H143" s="42" t="s">
        <v>150</v>
      </c>
      <c r="J143" s="31" t="s">
        <v>93</v>
      </c>
      <c r="K143" s="35">
        <v>46162</v>
      </c>
      <c r="P143" s="32" t="s">
        <v>45</v>
      </c>
    </row>
    <row r="144" spans="1:19" ht="15" customHeight="1">
      <c r="A144" s="36">
        <v>143</v>
      </c>
      <c r="B144" s="31" t="s">
        <v>269</v>
      </c>
      <c r="C144" s="31" t="s">
        <v>229</v>
      </c>
      <c r="D144" s="31" t="s">
        <v>54</v>
      </c>
      <c r="G144" s="31" t="s">
        <v>44</v>
      </c>
      <c r="H144" s="42" t="s">
        <v>150</v>
      </c>
      <c r="J144" s="31" t="s">
        <v>188</v>
      </c>
      <c r="K144" s="35">
        <v>46167</v>
      </c>
      <c r="P144" s="32" t="s">
        <v>45</v>
      </c>
    </row>
    <row r="145" spans="1:16" ht="15" customHeight="1">
      <c r="A145" s="36">
        <v>144</v>
      </c>
      <c r="B145" s="42" t="s">
        <v>269</v>
      </c>
      <c r="C145" s="31" t="s">
        <v>149</v>
      </c>
      <c r="D145" s="31" t="s">
        <v>54</v>
      </c>
      <c r="G145" s="31" t="s">
        <v>44</v>
      </c>
      <c r="H145" s="42" t="s">
        <v>150</v>
      </c>
      <c r="J145" s="31" t="s">
        <v>188</v>
      </c>
      <c r="K145" s="35">
        <v>46167</v>
      </c>
      <c r="P145" s="32" t="s">
        <v>45</v>
      </c>
    </row>
    <row r="146" spans="1:16" ht="15" customHeight="1">
      <c r="A146" s="36">
        <v>145</v>
      </c>
      <c r="B146" s="31" t="s">
        <v>270</v>
      </c>
      <c r="C146" s="31" t="s">
        <v>229</v>
      </c>
      <c r="D146" s="31" t="s">
        <v>271</v>
      </c>
      <c r="G146" s="31" t="s">
        <v>44</v>
      </c>
      <c r="H146" s="42" t="s">
        <v>150</v>
      </c>
      <c r="J146" s="31" t="s">
        <v>93</v>
      </c>
      <c r="K146" s="35">
        <v>46176</v>
      </c>
      <c r="P146" s="32" t="s">
        <v>45</v>
      </c>
    </row>
    <row r="147" spans="1:16" ht="15" customHeight="1">
      <c r="A147" s="36">
        <v>146</v>
      </c>
      <c r="B147" s="31" t="s">
        <v>272</v>
      </c>
      <c r="C147" s="31" t="s">
        <v>229</v>
      </c>
      <c r="D147" s="31" t="s">
        <v>158</v>
      </c>
      <c r="G147" s="31" t="s">
        <v>44</v>
      </c>
      <c r="H147" s="42" t="s">
        <v>150</v>
      </c>
      <c r="J147" s="31" t="s">
        <v>93</v>
      </c>
      <c r="K147" s="35">
        <v>46177</v>
      </c>
      <c r="P147" s="32" t="s">
        <v>45</v>
      </c>
    </row>
    <row r="148" spans="1:16" ht="15" customHeight="1">
      <c r="A148" s="36">
        <v>147</v>
      </c>
      <c r="B148" s="31" t="s">
        <v>273</v>
      </c>
      <c r="C148" s="31" t="s">
        <v>238</v>
      </c>
      <c r="D148" s="31" t="s">
        <v>158</v>
      </c>
      <c r="G148" s="31" t="s">
        <v>44</v>
      </c>
      <c r="H148" s="42" t="s">
        <v>150</v>
      </c>
      <c r="J148" s="31" t="s">
        <v>188</v>
      </c>
      <c r="K148" s="35">
        <v>46181</v>
      </c>
      <c r="P148" s="32" t="s">
        <v>45</v>
      </c>
    </row>
    <row r="149" spans="1:16" ht="15" customHeight="1">
      <c r="A149" s="36">
        <v>148</v>
      </c>
      <c r="B149" s="31" t="s">
        <v>273</v>
      </c>
      <c r="C149" s="31" t="s">
        <v>229</v>
      </c>
      <c r="D149" s="31" t="s">
        <v>158</v>
      </c>
      <c r="G149" s="31" t="s">
        <v>44</v>
      </c>
      <c r="H149" s="42" t="s">
        <v>150</v>
      </c>
      <c r="J149" s="31" t="s">
        <v>188</v>
      </c>
      <c r="K149" s="35">
        <v>46181</v>
      </c>
      <c r="P149" s="32" t="s">
        <v>45</v>
      </c>
    </row>
    <row r="150" spans="1:16" ht="15" customHeight="1">
      <c r="A150" s="36">
        <v>149</v>
      </c>
      <c r="B150" s="31" t="s">
        <v>273</v>
      </c>
      <c r="C150" s="31" t="s">
        <v>251</v>
      </c>
      <c r="D150" s="31" t="s">
        <v>158</v>
      </c>
      <c r="G150" s="31" t="s">
        <v>44</v>
      </c>
      <c r="H150" s="42" t="s">
        <v>150</v>
      </c>
      <c r="J150" s="31" t="s">
        <v>188</v>
      </c>
      <c r="K150" s="35">
        <v>46181</v>
      </c>
      <c r="P150" s="32" t="s">
        <v>45</v>
      </c>
    </row>
    <row r="151" spans="1:16" ht="15" customHeight="1">
      <c r="A151" s="36">
        <v>150</v>
      </c>
      <c r="B151" s="31" t="s">
        <v>274</v>
      </c>
      <c r="C151" s="31" t="s">
        <v>229</v>
      </c>
      <c r="D151" s="31" t="s">
        <v>54</v>
      </c>
      <c r="G151" s="31" t="s">
        <v>44</v>
      </c>
      <c r="H151" s="42" t="s">
        <v>150</v>
      </c>
      <c r="J151" s="31" t="s">
        <v>143</v>
      </c>
      <c r="K151" s="35">
        <v>46175</v>
      </c>
      <c r="P151" s="32" t="s">
        <v>45</v>
      </c>
    </row>
    <row r="152" spans="1:16" ht="15" customHeight="1">
      <c r="A152" s="36">
        <v>151</v>
      </c>
      <c r="B152" s="31" t="s">
        <v>274</v>
      </c>
      <c r="C152" s="31" t="s">
        <v>238</v>
      </c>
      <c r="D152" s="31" t="s">
        <v>54</v>
      </c>
      <c r="G152" s="31" t="s">
        <v>44</v>
      </c>
      <c r="H152" s="42" t="s">
        <v>150</v>
      </c>
      <c r="J152" s="31" t="s">
        <v>143</v>
      </c>
      <c r="K152" s="35">
        <v>46175</v>
      </c>
      <c r="P152" s="32" t="s">
        <v>45</v>
      </c>
    </row>
    <row r="153" spans="1:16" ht="15" customHeight="1">
      <c r="A153" s="36">
        <v>152</v>
      </c>
      <c r="B153" s="31" t="s">
        <v>274</v>
      </c>
      <c r="C153" s="31" t="s">
        <v>275</v>
      </c>
      <c r="D153" s="31" t="s">
        <v>54</v>
      </c>
      <c r="G153" s="31" t="s">
        <v>44</v>
      </c>
      <c r="H153" s="42" t="s">
        <v>150</v>
      </c>
      <c r="J153" s="31" t="s">
        <v>143</v>
      </c>
      <c r="K153" s="35">
        <v>46175</v>
      </c>
      <c r="P153" s="32" t="s">
        <v>45</v>
      </c>
    </row>
    <row r="154" spans="1:16" ht="15" customHeight="1">
      <c r="A154" s="36">
        <v>153</v>
      </c>
      <c r="B154" s="31" t="s">
        <v>276</v>
      </c>
      <c r="C154" s="31" t="s">
        <v>244</v>
      </c>
      <c r="D154" s="31" t="s">
        <v>277</v>
      </c>
      <c r="G154" s="31" t="s">
        <v>44</v>
      </c>
      <c r="H154" s="42" t="s">
        <v>150</v>
      </c>
      <c r="J154" s="31" t="s">
        <v>93</v>
      </c>
      <c r="K154" s="35">
        <v>46189</v>
      </c>
      <c r="P154" s="32" t="s">
        <v>45</v>
      </c>
    </row>
    <row r="155" spans="1:16" ht="15" customHeight="1">
      <c r="A155" s="36">
        <v>154</v>
      </c>
      <c r="B155" s="31" t="s">
        <v>276</v>
      </c>
      <c r="C155" s="31" t="s">
        <v>238</v>
      </c>
      <c r="D155" s="31" t="s">
        <v>277</v>
      </c>
      <c r="G155" s="31" t="s">
        <v>44</v>
      </c>
      <c r="H155" s="42" t="s">
        <v>150</v>
      </c>
      <c r="J155" s="31" t="s">
        <v>93</v>
      </c>
      <c r="K155" s="35">
        <v>46189</v>
      </c>
      <c r="P155" s="32" t="s">
        <v>45</v>
      </c>
    </row>
    <row r="156" spans="1:16" ht="15" customHeight="1">
      <c r="A156" s="36">
        <v>155</v>
      </c>
      <c r="B156" s="31" t="s">
        <v>278</v>
      </c>
      <c r="C156" s="31" t="s">
        <v>229</v>
      </c>
      <c r="D156" s="31" t="s">
        <v>194</v>
      </c>
      <c r="G156" s="31" t="s">
        <v>44</v>
      </c>
      <c r="H156" s="42" t="s">
        <v>150</v>
      </c>
      <c r="J156" s="31" t="s">
        <v>93</v>
      </c>
      <c r="K156" s="35">
        <v>46189</v>
      </c>
      <c r="P156" s="32" t="s">
        <v>45</v>
      </c>
    </row>
    <row r="157" spans="1:16" ht="15" customHeight="1">
      <c r="A157" s="36">
        <v>156</v>
      </c>
      <c r="B157" s="31" t="s">
        <v>278</v>
      </c>
      <c r="C157" s="31" t="s">
        <v>238</v>
      </c>
      <c r="D157" s="31" t="s">
        <v>279</v>
      </c>
      <c r="G157" s="31" t="s">
        <v>44</v>
      </c>
      <c r="H157" s="42" t="s">
        <v>150</v>
      </c>
      <c r="J157" s="31" t="s">
        <v>93</v>
      </c>
      <c r="K157" s="35">
        <v>46189</v>
      </c>
      <c r="P157" s="32" t="s">
        <v>45</v>
      </c>
    </row>
    <row r="158" spans="1:16" ht="15" customHeight="1">
      <c r="A158" s="36">
        <v>157</v>
      </c>
      <c r="B158" s="31" t="s">
        <v>278</v>
      </c>
      <c r="C158" s="31" t="s">
        <v>280</v>
      </c>
      <c r="D158" s="31" t="s">
        <v>194</v>
      </c>
      <c r="G158" s="31" t="s">
        <v>44</v>
      </c>
      <c r="H158" s="42" t="s">
        <v>150</v>
      </c>
      <c r="J158" s="31" t="s">
        <v>93</v>
      </c>
      <c r="K158" s="35">
        <v>46189</v>
      </c>
      <c r="P158" s="32" t="s">
        <v>45</v>
      </c>
    </row>
    <row r="159" spans="1:16" ht="15" customHeight="1">
      <c r="A159" s="36">
        <v>158</v>
      </c>
      <c r="B159" s="31" t="s">
        <v>281</v>
      </c>
      <c r="C159" s="31" t="s">
        <v>149</v>
      </c>
      <c r="D159" s="31" t="s">
        <v>79</v>
      </c>
      <c r="G159" s="31" t="s">
        <v>44</v>
      </c>
      <c r="H159" s="42" t="s">
        <v>150</v>
      </c>
      <c r="J159" s="31" t="s">
        <v>122</v>
      </c>
      <c r="K159" s="35">
        <v>46098</v>
      </c>
      <c r="P159" s="32" t="s">
        <v>45</v>
      </c>
    </row>
    <row r="160" spans="1:16" ht="15" customHeight="1">
      <c r="A160" s="36">
        <v>159</v>
      </c>
      <c r="B160" s="31" t="s">
        <v>282</v>
      </c>
      <c r="C160" s="31" t="s">
        <v>283</v>
      </c>
      <c r="D160" s="31" t="s">
        <v>284</v>
      </c>
      <c r="G160" s="31" t="s">
        <v>38</v>
      </c>
      <c r="H160" s="42" t="s">
        <v>150</v>
      </c>
      <c r="J160" s="31" t="s">
        <v>184</v>
      </c>
      <c r="K160" s="35">
        <v>46192</v>
      </c>
      <c r="P160" s="32" t="s">
        <v>40</v>
      </c>
    </row>
    <row r="161" spans="1:16" ht="15" customHeight="1">
      <c r="A161" s="36">
        <v>160</v>
      </c>
      <c r="B161" s="31" t="s">
        <v>285</v>
      </c>
      <c r="C161" s="31" t="s">
        <v>229</v>
      </c>
      <c r="D161" s="31" t="s">
        <v>284</v>
      </c>
      <c r="G161" s="31" t="s">
        <v>44</v>
      </c>
      <c r="H161" s="42" t="s">
        <v>150</v>
      </c>
      <c r="J161" s="31" t="s">
        <v>143</v>
      </c>
      <c r="K161" s="35">
        <v>46192</v>
      </c>
      <c r="P161" s="32" t="s">
        <v>45</v>
      </c>
    </row>
    <row r="162" spans="1:16" ht="15" customHeight="1">
      <c r="A162" s="36">
        <v>161</v>
      </c>
      <c r="B162" s="31" t="s">
        <v>285</v>
      </c>
      <c r="C162" s="31" t="s">
        <v>280</v>
      </c>
      <c r="D162" s="31" t="s">
        <v>284</v>
      </c>
      <c r="G162" s="31" t="s">
        <v>44</v>
      </c>
      <c r="H162" s="42" t="s">
        <v>150</v>
      </c>
      <c r="J162" s="31" t="s">
        <v>143</v>
      </c>
      <c r="K162" s="35">
        <v>46192</v>
      </c>
      <c r="P162" s="32" t="s">
        <v>45</v>
      </c>
    </row>
    <row r="163" spans="1:16" ht="15" customHeight="1">
      <c r="A163" s="36">
        <v>162</v>
      </c>
      <c r="B163" s="31" t="s">
        <v>286</v>
      </c>
      <c r="C163" s="31" t="s">
        <v>149</v>
      </c>
      <c r="D163" s="31" t="s">
        <v>136</v>
      </c>
      <c r="G163" s="31" t="s">
        <v>44</v>
      </c>
      <c r="H163" s="42" t="s">
        <v>150</v>
      </c>
      <c r="K163" s="35"/>
      <c r="P163" s="32" t="s">
        <v>45</v>
      </c>
    </row>
    <row r="164" spans="1:16" ht="15" customHeight="1">
      <c r="A164" s="36">
        <v>163</v>
      </c>
      <c r="B164" s="31" t="s">
        <v>287</v>
      </c>
      <c r="C164" s="31" t="s">
        <v>149</v>
      </c>
      <c r="D164" s="31" t="s">
        <v>136</v>
      </c>
      <c r="G164" s="31" t="s">
        <v>44</v>
      </c>
      <c r="H164" s="42" t="s">
        <v>150</v>
      </c>
      <c r="K164" s="35"/>
      <c r="P164" s="32" t="s">
        <v>45</v>
      </c>
    </row>
    <row r="165" spans="1:16" ht="15" customHeight="1">
      <c r="A165" s="36">
        <v>164</v>
      </c>
      <c r="B165" s="31" t="s">
        <v>288</v>
      </c>
      <c r="C165" s="31" t="s">
        <v>280</v>
      </c>
      <c r="D165" s="31" t="s">
        <v>284</v>
      </c>
      <c r="G165" s="31" t="s">
        <v>44</v>
      </c>
      <c r="H165" s="42" t="s">
        <v>150</v>
      </c>
      <c r="J165" s="31" t="s">
        <v>289</v>
      </c>
      <c r="K165" s="35">
        <v>46203</v>
      </c>
      <c r="P165" s="32" t="s">
        <v>45</v>
      </c>
    </row>
    <row r="166" spans="1:16" ht="15" customHeight="1">
      <c r="A166" s="36">
        <v>165</v>
      </c>
      <c r="B166" s="31" t="s">
        <v>288</v>
      </c>
      <c r="C166" s="31" t="s">
        <v>251</v>
      </c>
      <c r="D166" s="31" t="s">
        <v>284</v>
      </c>
      <c r="G166" s="31" t="s">
        <v>44</v>
      </c>
      <c r="H166" s="42" t="s">
        <v>150</v>
      </c>
      <c r="J166" s="31" t="s">
        <v>289</v>
      </c>
      <c r="K166" s="35">
        <v>46203</v>
      </c>
      <c r="P166" s="32" t="s">
        <v>45</v>
      </c>
    </row>
    <row r="167" spans="1:16" ht="15" customHeight="1">
      <c r="A167" s="36">
        <v>166</v>
      </c>
      <c r="B167" s="31" t="s">
        <v>290</v>
      </c>
      <c r="C167" s="31" t="s">
        <v>244</v>
      </c>
      <c r="D167" s="31" t="s">
        <v>187</v>
      </c>
      <c r="G167" s="31" t="s">
        <v>44</v>
      </c>
      <c r="H167" s="42" t="s">
        <v>150</v>
      </c>
      <c r="J167" s="31" t="s">
        <v>184</v>
      </c>
      <c r="K167" s="35">
        <v>46206</v>
      </c>
      <c r="P167" s="32" t="s">
        <v>45</v>
      </c>
    </row>
    <row r="168" spans="1:16" ht="15" customHeight="1">
      <c r="A168" s="36">
        <v>167</v>
      </c>
      <c r="B168" s="31" t="s">
        <v>290</v>
      </c>
      <c r="C168" s="31" t="s">
        <v>238</v>
      </c>
      <c r="D168" s="31" t="s">
        <v>187</v>
      </c>
      <c r="G168" s="31" t="s">
        <v>44</v>
      </c>
      <c r="H168" s="42" t="s">
        <v>150</v>
      </c>
      <c r="J168" s="31" t="s">
        <v>184</v>
      </c>
      <c r="K168" s="35">
        <v>46206</v>
      </c>
      <c r="P168" s="32" t="s">
        <v>45</v>
      </c>
    </row>
    <row r="169" spans="1:16" ht="15" customHeight="1">
      <c r="A169" s="36">
        <v>168</v>
      </c>
      <c r="B169" s="31" t="s">
        <v>290</v>
      </c>
      <c r="C169" s="31" t="s">
        <v>280</v>
      </c>
      <c r="D169" s="31" t="s">
        <v>187</v>
      </c>
      <c r="G169" s="31" t="s">
        <v>44</v>
      </c>
      <c r="H169" s="42" t="s">
        <v>150</v>
      </c>
      <c r="J169" s="31" t="s">
        <v>184</v>
      </c>
      <c r="K169" s="35">
        <v>46206</v>
      </c>
      <c r="P169" s="32" t="s">
        <v>45</v>
      </c>
    </row>
    <row r="170" spans="1:16" ht="15" customHeight="1">
      <c r="A170" s="36">
        <v>169</v>
      </c>
      <c r="B170" s="31" t="s">
        <v>246</v>
      </c>
      <c r="C170" s="31" t="s">
        <v>244</v>
      </c>
      <c r="D170" s="31" t="s">
        <v>291</v>
      </c>
      <c r="F170" s="31" t="s">
        <v>292</v>
      </c>
      <c r="G170" s="31" t="s">
        <v>44</v>
      </c>
      <c r="H170" s="42" t="s">
        <v>150</v>
      </c>
      <c r="J170" s="31" t="s">
        <v>93</v>
      </c>
      <c r="K170" s="35">
        <v>46210</v>
      </c>
      <c r="L170" s="35">
        <v>46241</v>
      </c>
      <c r="P170" s="32" t="s">
        <v>45</v>
      </c>
    </row>
    <row r="171" spans="1:16" ht="15" customHeight="1">
      <c r="A171" s="36">
        <v>170</v>
      </c>
      <c r="B171" s="31" t="s">
        <v>246</v>
      </c>
      <c r="C171" s="31" t="s">
        <v>280</v>
      </c>
      <c r="D171" s="31" t="s">
        <v>291</v>
      </c>
      <c r="G171" s="31" t="s">
        <v>44</v>
      </c>
      <c r="H171" s="42" t="s">
        <v>150</v>
      </c>
      <c r="J171" s="31" t="s">
        <v>93</v>
      </c>
      <c r="K171" s="35">
        <v>46210</v>
      </c>
      <c r="P171" s="32" t="s">
        <v>45</v>
      </c>
    </row>
    <row r="172" spans="1:16" ht="15" customHeight="1">
      <c r="A172" s="36">
        <v>171</v>
      </c>
      <c r="B172" s="31" t="s">
        <v>293</v>
      </c>
      <c r="C172" s="31" t="s">
        <v>294</v>
      </c>
      <c r="D172" s="31" t="s">
        <v>37</v>
      </c>
      <c r="F172" s="31" t="s">
        <v>295</v>
      </c>
      <c r="G172" s="31" t="s">
        <v>38</v>
      </c>
      <c r="H172" s="42" t="s">
        <v>150</v>
      </c>
      <c r="J172" s="31" t="s">
        <v>139</v>
      </c>
      <c r="K172" s="35">
        <v>46211</v>
      </c>
      <c r="N172" s="35">
        <v>46233</v>
      </c>
      <c r="P172" s="32" t="s">
        <v>40</v>
      </c>
    </row>
    <row r="173" spans="1:16" ht="15" customHeight="1">
      <c r="A173" s="36">
        <v>172</v>
      </c>
      <c r="B173" s="31" t="s">
        <v>296</v>
      </c>
      <c r="C173" s="31" t="s">
        <v>244</v>
      </c>
      <c r="D173" s="31" t="s">
        <v>187</v>
      </c>
      <c r="G173" s="31" t="s">
        <v>44</v>
      </c>
      <c r="H173" s="42" t="s">
        <v>150</v>
      </c>
      <c r="J173" s="31" t="s">
        <v>93</v>
      </c>
      <c r="K173" s="35">
        <v>46209</v>
      </c>
      <c r="P173" s="32" t="s">
        <v>45</v>
      </c>
    </row>
    <row r="174" spans="1:16" ht="15" customHeight="1">
      <c r="A174" s="36">
        <v>173</v>
      </c>
      <c r="B174" s="31" t="s">
        <v>297</v>
      </c>
      <c r="C174" s="31" t="s">
        <v>229</v>
      </c>
      <c r="D174" s="31" t="s">
        <v>187</v>
      </c>
      <c r="G174" s="31" t="s">
        <v>44</v>
      </c>
      <c r="H174" s="42" t="s">
        <v>150</v>
      </c>
      <c r="J174" s="31" t="s">
        <v>143</v>
      </c>
      <c r="K174" s="35">
        <v>46213</v>
      </c>
      <c r="P174" s="32" t="s">
        <v>45</v>
      </c>
    </row>
    <row r="175" spans="1:16" ht="15" customHeight="1">
      <c r="A175" s="36">
        <v>174</v>
      </c>
      <c r="B175" s="31" t="s">
        <v>298</v>
      </c>
      <c r="C175" s="31" t="s">
        <v>149</v>
      </c>
      <c r="D175" s="31" t="s">
        <v>187</v>
      </c>
      <c r="G175" s="31" t="s">
        <v>44</v>
      </c>
      <c r="H175" s="42" t="s">
        <v>150</v>
      </c>
      <c r="J175" s="31" t="s">
        <v>143</v>
      </c>
      <c r="K175" s="35">
        <v>46213</v>
      </c>
      <c r="P175" s="32" t="s">
        <v>45</v>
      </c>
    </row>
    <row r="176" spans="1:16" ht="15" customHeight="1">
      <c r="A176" s="36">
        <v>175</v>
      </c>
      <c r="B176" s="31" t="s">
        <v>299</v>
      </c>
      <c r="C176" s="31" t="s">
        <v>300</v>
      </c>
      <c r="D176" s="31" t="s">
        <v>187</v>
      </c>
      <c r="G176" s="31" t="s">
        <v>44</v>
      </c>
      <c r="H176" s="42" t="s">
        <v>150</v>
      </c>
      <c r="J176" s="31" t="s">
        <v>143</v>
      </c>
      <c r="K176" s="35">
        <v>46213</v>
      </c>
      <c r="P176" s="32" t="s">
        <v>45</v>
      </c>
    </row>
    <row r="177" spans="1:19" ht="15" customHeight="1">
      <c r="A177" s="36">
        <v>176</v>
      </c>
      <c r="B177" s="31" t="s">
        <v>301</v>
      </c>
      <c r="C177" s="31" t="s">
        <v>229</v>
      </c>
      <c r="D177" s="31" t="s">
        <v>187</v>
      </c>
      <c r="G177" s="31" t="s">
        <v>44</v>
      </c>
      <c r="H177" s="42" t="s">
        <v>150</v>
      </c>
      <c r="J177" s="31" t="s">
        <v>143</v>
      </c>
      <c r="K177" s="35">
        <v>46213</v>
      </c>
      <c r="P177" s="32" t="s">
        <v>45</v>
      </c>
    </row>
    <row r="178" spans="1:19" ht="15" customHeight="1">
      <c r="A178" s="36">
        <v>177</v>
      </c>
      <c r="B178" s="31" t="s">
        <v>302</v>
      </c>
      <c r="C178" s="31" t="s">
        <v>149</v>
      </c>
      <c r="D178" s="31" t="s">
        <v>187</v>
      </c>
      <c r="G178" s="31" t="s">
        <v>44</v>
      </c>
      <c r="H178" s="42" t="s">
        <v>150</v>
      </c>
      <c r="J178" s="31" t="s">
        <v>143</v>
      </c>
      <c r="K178" s="35">
        <v>46213</v>
      </c>
      <c r="P178" s="32" t="s">
        <v>45</v>
      </c>
    </row>
    <row r="179" spans="1:19" ht="15" customHeight="1">
      <c r="A179" s="36">
        <v>178</v>
      </c>
      <c r="B179" s="31" t="s">
        <v>303</v>
      </c>
      <c r="C179" s="31" t="s">
        <v>300</v>
      </c>
      <c r="D179" s="31" t="s">
        <v>187</v>
      </c>
      <c r="G179" s="31" t="s">
        <v>44</v>
      </c>
      <c r="H179" s="42" t="s">
        <v>150</v>
      </c>
      <c r="J179" s="31" t="s">
        <v>143</v>
      </c>
      <c r="K179" s="35">
        <v>46213</v>
      </c>
      <c r="P179" s="32" t="s">
        <v>45</v>
      </c>
    </row>
    <row r="180" spans="1:19" ht="15" customHeight="1">
      <c r="A180" s="36">
        <v>179</v>
      </c>
      <c r="B180" s="31" t="s">
        <v>304</v>
      </c>
      <c r="C180" s="31" t="s">
        <v>305</v>
      </c>
      <c r="D180" s="31" t="s">
        <v>76</v>
      </c>
      <c r="E180" s="33"/>
      <c r="F180" s="33"/>
      <c r="G180" s="31" t="s">
        <v>44</v>
      </c>
      <c r="H180" s="42" t="s">
        <v>150</v>
      </c>
      <c r="I180" s="33"/>
      <c r="J180" s="31" t="s">
        <v>306</v>
      </c>
      <c r="K180" s="35">
        <v>46216</v>
      </c>
      <c r="L180" s="33"/>
      <c r="M180" s="33"/>
      <c r="N180" s="33"/>
      <c r="O180" s="33"/>
      <c r="P180" s="32" t="s">
        <v>45</v>
      </c>
      <c r="Q180" s="33"/>
      <c r="R180" s="33"/>
      <c r="S180" s="33"/>
    </row>
    <row r="181" spans="1:19" ht="15" customHeight="1">
      <c r="A181" s="36">
        <v>180</v>
      </c>
      <c r="B181" s="31" t="s">
        <v>307</v>
      </c>
      <c r="C181" s="31" t="s">
        <v>308</v>
      </c>
      <c r="D181" s="42" t="s">
        <v>205</v>
      </c>
      <c r="E181" s="42"/>
      <c r="G181" s="31" t="s">
        <v>38</v>
      </c>
      <c r="H181" s="42" t="s">
        <v>309</v>
      </c>
      <c r="I181" s="42"/>
      <c r="K181" s="35" t="s">
        <v>310</v>
      </c>
      <c r="P181" s="32" t="s">
        <v>40</v>
      </c>
    </row>
    <row r="182" spans="1:19" ht="15" customHeight="1">
      <c r="A182" s="36">
        <v>181</v>
      </c>
      <c r="B182" s="31" t="s">
        <v>311</v>
      </c>
      <c r="C182" s="31" t="s">
        <v>308</v>
      </c>
      <c r="D182" s="31" t="s">
        <v>312</v>
      </c>
      <c r="G182" s="31" t="s">
        <v>38</v>
      </c>
      <c r="H182" s="42" t="s">
        <v>309</v>
      </c>
      <c r="I182" s="42"/>
      <c r="K182" s="35" t="s">
        <v>313</v>
      </c>
      <c r="P182" s="32" t="s">
        <v>40</v>
      </c>
    </row>
    <row r="183" spans="1:19" ht="15" customHeight="1">
      <c r="A183" s="36">
        <v>182</v>
      </c>
      <c r="B183" s="31" t="s">
        <v>314</v>
      </c>
      <c r="C183" s="31" t="s">
        <v>308</v>
      </c>
      <c r="D183" s="31" t="s">
        <v>205</v>
      </c>
      <c r="G183" s="31" t="s">
        <v>107</v>
      </c>
      <c r="H183" s="42" t="s">
        <v>309</v>
      </c>
      <c r="I183" s="42"/>
      <c r="K183" s="35" t="s">
        <v>315</v>
      </c>
      <c r="P183" s="32" t="s">
        <v>45</v>
      </c>
    </row>
    <row r="184" spans="1:19" ht="15" customHeight="1">
      <c r="A184" s="36">
        <v>183</v>
      </c>
      <c r="B184" s="31" t="s">
        <v>316</v>
      </c>
      <c r="C184" s="31" t="s">
        <v>308</v>
      </c>
      <c r="D184" s="31" t="s">
        <v>205</v>
      </c>
      <c r="G184" s="31" t="s">
        <v>38</v>
      </c>
      <c r="H184" s="42" t="s">
        <v>309</v>
      </c>
      <c r="I184" s="42"/>
      <c r="K184" s="35" t="s">
        <v>317</v>
      </c>
      <c r="P184" s="32" t="s">
        <v>40</v>
      </c>
    </row>
    <row r="185" spans="1:19" ht="15" customHeight="1">
      <c r="A185" s="36">
        <v>184</v>
      </c>
      <c r="B185" s="31" t="s">
        <v>318</v>
      </c>
      <c r="C185" s="31" t="s">
        <v>308</v>
      </c>
      <c r="D185" s="31" t="s">
        <v>312</v>
      </c>
      <c r="G185" s="31" t="s">
        <v>38</v>
      </c>
      <c r="H185" s="42" t="s">
        <v>309</v>
      </c>
      <c r="I185" s="42"/>
      <c r="K185" s="35" t="s">
        <v>319</v>
      </c>
      <c r="P185" s="32" t="s">
        <v>40</v>
      </c>
    </row>
    <row r="186" spans="1:19" ht="15" customHeight="1">
      <c r="A186" s="36">
        <v>185</v>
      </c>
      <c r="B186" s="31" t="s">
        <v>320</v>
      </c>
      <c r="C186" s="31" t="s">
        <v>308</v>
      </c>
      <c r="D186" s="31" t="s">
        <v>197</v>
      </c>
      <c r="G186" s="31" t="s">
        <v>38</v>
      </c>
      <c r="H186" s="42" t="s">
        <v>309</v>
      </c>
      <c r="I186" s="42"/>
      <c r="K186" s="35" t="s">
        <v>321</v>
      </c>
      <c r="N186" s="35">
        <v>46228</v>
      </c>
      <c r="P186" s="32" t="s">
        <v>40</v>
      </c>
    </row>
    <row r="187" spans="1:19" ht="15" customHeight="1">
      <c r="A187" s="36">
        <v>186</v>
      </c>
      <c r="B187" s="31" t="s">
        <v>322</v>
      </c>
      <c r="C187" s="31" t="s">
        <v>308</v>
      </c>
      <c r="D187" s="31" t="s">
        <v>197</v>
      </c>
      <c r="G187" s="31" t="s">
        <v>44</v>
      </c>
      <c r="H187" s="42" t="s">
        <v>309</v>
      </c>
      <c r="I187" s="42"/>
      <c r="K187" s="35" t="s">
        <v>323</v>
      </c>
      <c r="P187" s="32" t="s">
        <v>40</v>
      </c>
    </row>
    <row r="188" spans="1:19" ht="15" customHeight="1">
      <c r="A188" s="36">
        <v>187</v>
      </c>
      <c r="B188" s="31" t="s">
        <v>324</v>
      </c>
      <c r="C188" s="31" t="s">
        <v>308</v>
      </c>
      <c r="D188" s="31" t="s">
        <v>325</v>
      </c>
      <c r="G188" s="31" t="s">
        <v>38</v>
      </c>
      <c r="H188" s="42" t="s">
        <v>309</v>
      </c>
      <c r="I188" s="42"/>
      <c r="K188" s="35" t="s">
        <v>326</v>
      </c>
      <c r="P188" s="32" t="s">
        <v>40</v>
      </c>
    </row>
    <row r="189" spans="1:19" ht="15" customHeight="1">
      <c r="A189" s="36">
        <v>188</v>
      </c>
      <c r="B189" s="31" t="s">
        <v>327</v>
      </c>
      <c r="C189" s="31" t="s">
        <v>308</v>
      </c>
      <c r="D189" s="31" t="s">
        <v>66</v>
      </c>
      <c r="G189" s="31" t="s">
        <v>107</v>
      </c>
      <c r="H189" s="42" t="s">
        <v>309</v>
      </c>
      <c r="I189" s="42"/>
      <c r="K189" s="35" t="s">
        <v>328</v>
      </c>
      <c r="P189" s="32" t="s">
        <v>45</v>
      </c>
    </row>
    <row r="190" spans="1:19" ht="15" customHeight="1">
      <c r="A190" s="36">
        <v>189</v>
      </c>
      <c r="B190" s="31" t="s">
        <v>329</v>
      </c>
      <c r="C190" s="31" t="s">
        <v>308</v>
      </c>
      <c r="D190" s="31" t="s">
        <v>79</v>
      </c>
      <c r="G190" s="31" t="s">
        <v>44</v>
      </c>
      <c r="H190" s="42" t="s">
        <v>309</v>
      </c>
      <c r="I190" s="42"/>
      <c r="K190" s="35" t="s">
        <v>330</v>
      </c>
      <c r="P190" s="32" t="s">
        <v>45</v>
      </c>
    </row>
    <row r="191" spans="1:19" ht="15" customHeight="1">
      <c r="A191" s="36">
        <v>190</v>
      </c>
      <c r="B191" s="31" t="s">
        <v>331</v>
      </c>
      <c r="C191" s="31" t="s">
        <v>308</v>
      </c>
      <c r="D191" s="31" t="s">
        <v>291</v>
      </c>
      <c r="G191" s="31" t="s">
        <v>44</v>
      </c>
      <c r="H191" s="42" t="s">
        <v>309</v>
      </c>
      <c r="I191" s="42"/>
      <c r="K191" s="35" t="s">
        <v>332</v>
      </c>
      <c r="P191" s="32" t="s">
        <v>45</v>
      </c>
    </row>
    <row r="192" spans="1:19" ht="15" customHeight="1">
      <c r="A192" s="36">
        <v>191</v>
      </c>
      <c r="B192" s="31" t="s">
        <v>333</v>
      </c>
      <c r="C192" s="31" t="s">
        <v>334</v>
      </c>
      <c r="D192" s="31" t="s">
        <v>66</v>
      </c>
      <c r="G192" s="31" t="s">
        <v>44</v>
      </c>
      <c r="H192" s="42" t="s">
        <v>309</v>
      </c>
      <c r="I192" s="42"/>
      <c r="K192" s="35" t="s">
        <v>335</v>
      </c>
      <c r="P192" s="32" t="s">
        <v>45</v>
      </c>
    </row>
    <row r="193" spans="1:19" ht="15" customHeight="1">
      <c r="A193" s="36">
        <v>192</v>
      </c>
      <c r="B193" s="31" t="s">
        <v>336</v>
      </c>
      <c r="C193" s="31" t="s">
        <v>337</v>
      </c>
      <c r="D193" s="31" t="s">
        <v>63</v>
      </c>
      <c r="G193" s="31" t="s">
        <v>38</v>
      </c>
      <c r="H193" s="42" t="s">
        <v>309</v>
      </c>
      <c r="I193" s="42"/>
      <c r="K193" s="35" t="s">
        <v>338</v>
      </c>
      <c r="P193" s="32" t="s">
        <v>40</v>
      </c>
    </row>
    <row r="194" spans="1:19" ht="15" customHeight="1">
      <c r="A194" s="36">
        <v>193</v>
      </c>
      <c r="B194" s="31" t="s">
        <v>339</v>
      </c>
      <c r="C194" s="31" t="s">
        <v>308</v>
      </c>
      <c r="D194" s="31" t="s">
        <v>182</v>
      </c>
      <c r="G194" s="31" t="s">
        <v>107</v>
      </c>
      <c r="H194" s="42" t="s">
        <v>309</v>
      </c>
      <c r="I194" s="42"/>
      <c r="K194" s="35" t="s">
        <v>338</v>
      </c>
      <c r="P194" s="32" t="s">
        <v>45</v>
      </c>
    </row>
    <row r="195" spans="1:19" ht="15" customHeight="1">
      <c r="A195" s="36">
        <v>194</v>
      </c>
      <c r="B195" s="31" t="s">
        <v>340</v>
      </c>
      <c r="C195" s="31" t="s">
        <v>308</v>
      </c>
      <c r="D195" s="31" t="s">
        <v>341</v>
      </c>
      <c r="G195" s="31" t="s">
        <v>44</v>
      </c>
      <c r="H195" s="42" t="s">
        <v>309</v>
      </c>
      <c r="I195" s="42"/>
      <c r="K195" s="35" t="s">
        <v>342</v>
      </c>
      <c r="P195" s="32" t="s">
        <v>45</v>
      </c>
    </row>
    <row r="196" spans="1:19" ht="15" customHeight="1">
      <c r="A196" s="36">
        <v>195</v>
      </c>
      <c r="B196" s="31" t="s">
        <v>343</v>
      </c>
      <c r="C196" s="31" t="s">
        <v>308</v>
      </c>
      <c r="D196" s="31" t="s">
        <v>194</v>
      </c>
      <c r="G196" s="31" t="s">
        <v>44</v>
      </c>
      <c r="H196" s="42" t="s">
        <v>309</v>
      </c>
      <c r="I196" s="42"/>
      <c r="J196" s="31" t="s">
        <v>91</v>
      </c>
      <c r="K196" s="35" t="s">
        <v>344</v>
      </c>
      <c r="P196" s="32" t="s">
        <v>45</v>
      </c>
    </row>
    <row r="197" spans="1:19" ht="15" customHeight="1">
      <c r="A197" s="36">
        <v>196</v>
      </c>
      <c r="B197" s="31" t="s">
        <v>345</v>
      </c>
      <c r="C197" s="31" t="s">
        <v>308</v>
      </c>
      <c r="D197" s="31" t="s">
        <v>158</v>
      </c>
      <c r="G197" s="31" t="s">
        <v>38</v>
      </c>
      <c r="H197" s="42" t="s">
        <v>309</v>
      </c>
      <c r="I197" s="42"/>
      <c r="J197" s="31" t="s">
        <v>346</v>
      </c>
      <c r="K197" s="35" t="s">
        <v>347</v>
      </c>
      <c r="P197" s="32" t="s">
        <v>40</v>
      </c>
    </row>
    <row r="198" spans="1:19" ht="15" customHeight="1">
      <c r="A198" s="36">
        <v>197</v>
      </c>
      <c r="B198" s="31" t="s">
        <v>348</v>
      </c>
      <c r="C198" s="31" t="s">
        <v>308</v>
      </c>
      <c r="D198" s="31" t="s">
        <v>66</v>
      </c>
      <c r="G198" s="31" t="s">
        <v>38</v>
      </c>
      <c r="H198" s="42" t="s">
        <v>309</v>
      </c>
      <c r="I198" s="42"/>
      <c r="K198" s="35" t="s">
        <v>349</v>
      </c>
      <c r="P198" s="32" t="s">
        <v>40</v>
      </c>
    </row>
    <row r="199" spans="1:19" ht="15" customHeight="1">
      <c r="A199" s="36">
        <v>198</v>
      </c>
      <c r="B199" s="31" t="s">
        <v>350</v>
      </c>
      <c r="C199" s="31" t="s">
        <v>308</v>
      </c>
      <c r="D199" s="31" t="s">
        <v>158</v>
      </c>
      <c r="G199" s="31" t="s">
        <v>44</v>
      </c>
      <c r="H199" s="42" t="s">
        <v>309</v>
      </c>
      <c r="I199" s="42"/>
      <c r="J199" s="31" t="s">
        <v>93</v>
      </c>
      <c r="K199" s="35">
        <v>46132</v>
      </c>
      <c r="P199" s="32" t="s">
        <v>45</v>
      </c>
    </row>
    <row r="200" spans="1:19" ht="15" customHeight="1">
      <c r="A200" s="36">
        <v>199</v>
      </c>
      <c r="B200" s="31" t="s">
        <v>351</v>
      </c>
      <c r="C200" s="31" t="s">
        <v>308</v>
      </c>
      <c r="D200" s="31" t="s">
        <v>158</v>
      </c>
      <c r="G200" s="31" t="s">
        <v>44</v>
      </c>
      <c r="H200" s="42" t="s">
        <v>309</v>
      </c>
      <c r="I200" s="42"/>
      <c r="J200" s="31" t="s">
        <v>93</v>
      </c>
      <c r="K200" s="35">
        <v>46132</v>
      </c>
      <c r="P200" s="32" t="s">
        <v>45</v>
      </c>
    </row>
    <row r="201" spans="1:19" ht="15" customHeight="1">
      <c r="A201" s="36">
        <v>200</v>
      </c>
      <c r="B201" s="31" t="s">
        <v>352</v>
      </c>
      <c r="C201" s="31" t="s">
        <v>308</v>
      </c>
      <c r="D201" s="31" t="s">
        <v>271</v>
      </c>
      <c r="G201" s="31" t="s">
        <v>44</v>
      </c>
      <c r="H201" s="42" t="s">
        <v>309</v>
      </c>
      <c r="I201" s="42"/>
      <c r="J201" s="31" t="s">
        <v>139</v>
      </c>
      <c r="K201" s="35">
        <v>46132</v>
      </c>
      <c r="P201" s="32" t="s">
        <v>45</v>
      </c>
    </row>
    <row r="202" spans="1:19" ht="15" customHeight="1">
      <c r="A202" s="36">
        <v>201</v>
      </c>
      <c r="B202" s="31" t="s">
        <v>353</v>
      </c>
      <c r="C202" s="31" t="s">
        <v>308</v>
      </c>
      <c r="D202" s="31" t="s">
        <v>79</v>
      </c>
      <c r="G202" s="31" t="s">
        <v>38</v>
      </c>
      <c r="H202" s="42" t="s">
        <v>309</v>
      </c>
      <c r="I202" s="42"/>
      <c r="J202" s="31" t="s">
        <v>354</v>
      </c>
      <c r="K202" s="35">
        <v>46135</v>
      </c>
      <c r="P202" s="32" t="s">
        <v>40</v>
      </c>
    </row>
    <row r="203" spans="1:19" ht="15" customHeight="1">
      <c r="A203" s="36">
        <v>202</v>
      </c>
      <c r="B203" s="31" t="s">
        <v>355</v>
      </c>
      <c r="C203" s="31" t="s">
        <v>308</v>
      </c>
      <c r="D203" s="31" t="s">
        <v>79</v>
      </c>
      <c r="F203" s="31" t="s">
        <v>356</v>
      </c>
      <c r="G203" s="31" t="s">
        <v>44</v>
      </c>
      <c r="H203" s="42" t="s">
        <v>309</v>
      </c>
      <c r="I203" s="42"/>
      <c r="J203" s="31" t="s">
        <v>346</v>
      </c>
      <c r="K203" s="35">
        <v>46135</v>
      </c>
      <c r="P203" s="32" t="s">
        <v>45</v>
      </c>
    </row>
    <row r="204" spans="1:19" ht="15" customHeight="1">
      <c r="A204" s="36">
        <v>203</v>
      </c>
      <c r="B204" s="31" t="s">
        <v>357</v>
      </c>
      <c r="C204" s="31" t="s">
        <v>308</v>
      </c>
      <c r="D204" s="31" t="s">
        <v>79</v>
      </c>
      <c r="G204" s="31" t="s">
        <v>38</v>
      </c>
      <c r="H204" s="42" t="s">
        <v>309</v>
      </c>
      <c r="I204" s="42"/>
      <c r="J204" s="31" t="s">
        <v>346</v>
      </c>
      <c r="K204" s="35">
        <v>46135</v>
      </c>
      <c r="N204" s="35">
        <v>46228</v>
      </c>
      <c r="P204" s="32" t="s">
        <v>40</v>
      </c>
    </row>
    <row r="205" spans="1:19" ht="15" customHeight="1">
      <c r="A205" s="36">
        <v>204</v>
      </c>
      <c r="B205" s="31" t="s">
        <v>358</v>
      </c>
      <c r="C205" s="31" t="s">
        <v>308</v>
      </c>
      <c r="D205" s="31" t="s">
        <v>341</v>
      </c>
      <c r="G205" s="31" t="s">
        <v>44</v>
      </c>
      <c r="H205" s="42" t="s">
        <v>309</v>
      </c>
      <c r="I205" s="42"/>
      <c r="J205" s="31" t="s">
        <v>346</v>
      </c>
      <c r="K205" s="35">
        <v>46136</v>
      </c>
      <c r="P205" s="32" t="s">
        <v>45</v>
      </c>
    </row>
    <row r="206" spans="1:19" ht="15" customHeight="1">
      <c r="A206" s="36">
        <v>205</v>
      </c>
      <c r="B206" s="31" t="s">
        <v>359</v>
      </c>
      <c r="C206" s="31" t="s">
        <v>308</v>
      </c>
      <c r="D206" s="31" t="s">
        <v>271</v>
      </c>
      <c r="G206" s="31" t="s">
        <v>44</v>
      </c>
      <c r="H206" s="42" t="s">
        <v>309</v>
      </c>
      <c r="I206" s="42"/>
      <c r="J206" s="31" t="s">
        <v>354</v>
      </c>
      <c r="K206" s="35">
        <v>46140</v>
      </c>
      <c r="P206" s="32" t="s">
        <v>45</v>
      </c>
    </row>
    <row r="207" spans="1:19" ht="15" customHeight="1">
      <c r="A207" s="36">
        <v>206</v>
      </c>
      <c r="B207" s="31" t="s">
        <v>360</v>
      </c>
      <c r="C207" s="31" t="s">
        <v>308</v>
      </c>
      <c r="D207" s="31" t="s">
        <v>263</v>
      </c>
      <c r="G207" s="31" t="s">
        <v>44</v>
      </c>
      <c r="H207" s="42" t="s">
        <v>309</v>
      </c>
      <c r="I207" s="42"/>
      <c r="J207" s="31" t="s">
        <v>91</v>
      </c>
      <c r="K207" s="35">
        <v>46142</v>
      </c>
      <c r="P207" s="32" t="s">
        <v>45</v>
      </c>
    </row>
    <row r="208" spans="1:19" s="39" customFormat="1" ht="15" customHeight="1">
      <c r="A208" s="37">
        <v>207</v>
      </c>
      <c r="B208" s="38" t="s">
        <v>361</v>
      </c>
      <c r="C208" s="38" t="s">
        <v>308</v>
      </c>
      <c r="D208" s="38" t="s">
        <v>187</v>
      </c>
      <c r="E208" s="38"/>
      <c r="F208" s="38"/>
      <c r="G208" s="38" t="s">
        <v>103</v>
      </c>
      <c r="H208" s="40" t="s">
        <v>309</v>
      </c>
      <c r="I208" s="40" t="s">
        <v>362</v>
      </c>
      <c r="J208" s="38" t="s">
        <v>346</v>
      </c>
      <c r="K208" s="43">
        <v>46153</v>
      </c>
      <c r="L208" s="38"/>
      <c r="M208" s="38"/>
      <c r="N208" s="38"/>
      <c r="O208" s="38"/>
      <c r="P208" s="47" t="s">
        <v>45</v>
      </c>
      <c r="Q208" s="38"/>
      <c r="R208" s="38"/>
      <c r="S208" s="38"/>
    </row>
    <row r="209" spans="1:16" ht="15" customHeight="1">
      <c r="A209" s="36">
        <v>208</v>
      </c>
      <c r="B209" s="31" t="s">
        <v>363</v>
      </c>
      <c r="C209" s="31" t="s">
        <v>364</v>
      </c>
      <c r="D209" s="31" t="s">
        <v>76</v>
      </c>
      <c r="G209" s="31" t="s">
        <v>38</v>
      </c>
      <c r="H209" s="42" t="s">
        <v>309</v>
      </c>
      <c r="I209" s="42"/>
      <c r="J209" s="31" t="s">
        <v>184</v>
      </c>
      <c r="K209" s="35">
        <v>46153</v>
      </c>
      <c r="N209" s="35">
        <v>46228</v>
      </c>
      <c r="P209" s="32" t="s">
        <v>40</v>
      </c>
    </row>
    <row r="210" spans="1:16" ht="15" customHeight="1">
      <c r="A210" s="36">
        <v>209</v>
      </c>
      <c r="B210" s="31" t="s">
        <v>365</v>
      </c>
      <c r="C210" s="31" t="s">
        <v>366</v>
      </c>
      <c r="D210" s="31" t="s">
        <v>66</v>
      </c>
      <c r="G210" s="31" t="s">
        <v>38</v>
      </c>
      <c r="H210" s="42" t="s">
        <v>309</v>
      </c>
      <c r="I210" s="42"/>
      <c r="J210" s="31" t="s">
        <v>147</v>
      </c>
      <c r="K210" s="35">
        <v>46153</v>
      </c>
      <c r="P210" s="32" t="s">
        <v>40</v>
      </c>
    </row>
    <row r="211" spans="1:16" ht="15" customHeight="1">
      <c r="A211" s="36">
        <v>210</v>
      </c>
      <c r="B211" s="31" t="s">
        <v>367</v>
      </c>
      <c r="C211" s="31" t="s">
        <v>308</v>
      </c>
      <c r="D211" s="31" t="s">
        <v>79</v>
      </c>
      <c r="G211" s="31" t="s">
        <v>44</v>
      </c>
      <c r="H211" s="42" t="s">
        <v>309</v>
      </c>
      <c r="I211" s="42"/>
      <c r="J211" s="31" t="s">
        <v>346</v>
      </c>
      <c r="K211" s="35">
        <v>46153</v>
      </c>
      <c r="P211" s="32" t="s">
        <v>45</v>
      </c>
    </row>
    <row r="212" spans="1:16" ht="15" customHeight="1">
      <c r="A212" s="36">
        <v>211</v>
      </c>
      <c r="B212" s="31" t="s">
        <v>368</v>
      </c>
      <c r="C212" s="31" t="s">
        <v>308</v>
      </c>
      <c r="D212" s="31" t="s">
        <v>63</v>
      </c>
      <c r="G212" s="31" t="s">
        <v>38</v>
      </c>
      <c r="H212" s="42" t="s">
        <v>309</v>
      </c>
      <c r="I212" s="42"/>
      <c r="J212" s="31" t="s">
        <v>306</v>
      </c>
      <c r="K212" s="35">
        <v>46153</v>
      </c>
      <c r="P212" s="32" t="s">
        <v>40</v>
      </c>
    </row>
    <row r="213" spans="1:16" ht="15" customHeight="1">
      <c r="A213" s="36">
        <v>212</v>
      </c>
      <c r="B213" s="31" t="s">
        <v>369</v>
      </c>
      <c r="C213" s="31" t="s">
        <v>308</v>
      </c>
      <c r="D213" s="31" t="s">
        <v>63</v>
      </c>
      <c r="G213" s="31" t="s">
        <v>38</v>
      </c>
      <c r="H213" s="42" t="s">
        <v>309</v>
      </c>
      <c r="I213" s="42"/>
      <c r="J213" s="31" t="s">
        <v>306</v>
      </c>
      <c r="K213" s="35">
        <v>46153</v>
      </c>
      <c r="P213" s="32" t="s">
        <v>40</v>
      </c>
    </row>
    <row r="214" spans="1:16" ht="15" customHeight="1">
      <c r="A214" s="36">
        <v>213</v>
      </c>
      <c r="B214" s="31" t="s">
        <v>370</v>
      </c>
      <c r="C214" s="31" t="s">
        <v>308</v>
      </c>
      <c r="D214" s="31" t="s">
        <v>63</v>
      </c>
      <c r="G214" s="31" t="s">
        <v>38</v>
      </c>
      <c r="H214" s="42" t="s">
        <v>309</v>
      </c>
      <c r="I214" s="42"/>
      <c r="J214" s="31" t="s">
        <v>306</v>
      </c>
      <c r="K214" s="35">
        <v>46153</v>
      </c>
      <c r="P214" s="32" t="s">
        <v>40</v>
      </c>
    </row>
    <row r="215" spans="1:16" ht="15" customHeight="1">
      <c r="A215" s="36">
        <v>214</v>
      </c>
      <c r="B215" s="31" t="s">
        <v>371</v>
      </c>
      <c r="C215" s="31" t="s">
        <v>308</v>
      </c>
      <c r="D215" s="31" t="s">
        <v>63</v>
      </c>
      <c r="G215" s="31" t="s">
        <v>38</v>
      </c>
      <c r="H215" s="42" t="s">
        <v>309</v>
      </c>
      <c r="I215" s="42"/>
      <c r="J215" s="31" t="s">
        <v>306</v>
      </c>
      <c r="K215" s="35">
        <v>46153</v>
      </c>
      <c r="P215" s="32" t="s">
        <v>40</v>
      </c>
    </row>
    <row r="216" spans="1:16" ht="15" customHeight="1">
      <c r="A216" s="36">
        <v>215</v>
      </c>
      <c r="B216" s="31" t="s">
        <v>372</v>
      </c>
      <c r="C216" s="31" t="s">
        <v>308</v>
      </c>
      <c r="D216" s="31" t="s">
        <v>187</v>
      </c>
      <c r="G216" s="31" t="s">
        <v>44</v>
      </c>
      <c r="H216" s="42" t="s">
        <v>309</v>
      </c>
      <c r="I216" s="42"/>
      <c r="J216" s="31" t="s">
        <v>93</v>
      </c>
      <c r="K216" s="35">
        <v>46154</v>
      </c>
      <c r="P216" s="32" t="s">
        <v>45</v>
      </c>
    </row>
    <row r="217" spans="1:16" ht="15" customHeight="1">
      <c r="A217" s="36">
        <v>216</v>
      </c>
      <c r="B217" s="31" t="s">
        <v>373</v>
      </c>
      <c r="C217" s="31" t="s">
        <v>308</v>
      </c>
      <c r="D217" s="31" t="s">
        <v>197</v>
      </c>
      <c r="G217" s="31" t="s">
        <v>38</v>
      </c>
      <c r="H217" s="42" t="s">
        <v>309</v>
      </c>
      <c r="I217" s="42"/>
      <c r="J217" s="31" t="s">
        <v>306</v>
      </c>
      <c r="K217" s="35">
        <v>46154</v>
      </c>
      <c r="P217" s="32" t="s">
        <v>40</v>
      </c>
    </row>
    <row r="218" spans="1:16" ht="15" customHeight="1">
      <c r="A218" s="36">
        <v>217</v>
      </c>
      <c r="B218" s="31" t="s">
        <v>374</v>
      </c>
      <c r="C218" s="31" t="s">
        <v>308</v>
      </c>
      <c r="D218" s="31" t="s">
        <v>76</v>
      </c>
      <c r="G218" s="31" t="s">
        <v>44</v>
      </c>
      <c r="H218" s="42" t="s">
        <v>309</v>
      </c>
      <c r="I218" s="42"/>
      <c r="J218" s="31" t="s">
        <v>184</v>
      </c>
      <c r="K218" s="35">
        <v>46154</v>
      </c>
      <c r="P218" s="32" t="s">
        <v>45</v>
      </c>
    </row>
    <row r="219" spans="1:16" ht="15" customHeight="1">
      <c r="A219" s="36">
        <v>218</v>
      </c>
      <c r="B219" s="31" t="s">
        <v>375</v>
      </c>
      <c r="C219" s="31" t="s">
        <v>308</v>
      </c>
      <c r="D219" s="31" t="s">
        <v>76</v>
      </c>
      <c r="G219" s="31" t="s">
        <v>44</v>
      </c>
      <c r="H219" s="42" t="s">
        <v>309</v>
      </c>
      <c r="I219" s="42"/>
      <c r="J219" s="31" t="s">
        <v>184</v>
      </c>
      <c r="K219" s="35">
        <v>46154</v>
      </c>
      <c r="P219" s="32" t="s">
        <v>45</v>
      </c>
    </row>
    <row r="220" spans="1:16" ht="15" customHeight="1">
      <c r="A220" s="36">
        <v>219</v>
      </c>
      <c r="B220" s="31" t="s">
        <v>376</v>
      </c>
      <c r="C220" s="31" t="s">
        <v>308</v>
      </c>
      <c r="D220" s="31" t="s">
        <v>312</v>
      </c>
      <c r="G220" s="31" t="s">
        <v>38</v>
      </c>
      <c r="H220" s="42" t="s">
        <v>309</v>
      </c>
      <c r="I220" s="42"/>
      <c r="K220" s="35" t="s">
        <v>313</v>
      </c>
      <c r="P220" s="32" t="s">
        <v>40</v>
      </c>
    </row>
    <row r="221" spans="1:16" ht="15" customHeight="1">
      <c r="A221" s="36">
        <v>220</v>
      </c>
      <c r="B221" s="31" t="s">
        <v>377</v>
      </c>
      <c r="C221" s="31" t="s">
        <v>308</v>
      </c>
      <c r="D221" s="31" t="s">
        <v>312</v>
      </c>
      <c r="G221" s="31" t="s">
        <v>38</v>
      </c>
      <c r="H221" s="42" t="s">
        <v>309</v>
      </c>
      <c r="I221" s="42"/>
      <c r="K221" s="35" t="s">
        <v>378</v>
      </c>
      <c r="P221" s="32" t="s">
        <v>40</v>
      </c>
    </row>
    <row r="222" spans="1:16" ht="15" customHeight="1">
      <c r="A222" s="36">
        <v>221</v>
      </c>
      <c r="B222" s="31" t="s">
        <v>379</v>
      </c>
      <c r="C222" s="31" t="s">
        <v>308</v>
      </c>
      <c r="D222" s="31" t="s">
        <v>136</v>
      </c>
      <c r="G222" s="31" t="s">
        <v>38</v>
      </c>
      <c r="H222" s="42" t="s">
        <v>309</v>
      </c>
      <c r="I222" s="42"/>
      <c r="K222" s="35" t="s">
        <v>380</v>
      </c>
      <c r="P222" s="32" t="s">
        <v>40</v>
      </c>
    </row>
    <row r="223" spans="1:16" ht="15" customHeight="1">
      <c r="A223" s="36">
        <v>222</v>
      </c>
      <c r="B223" s="31" t="s">
        <v>381</v>
      </c>
      <c r="C223" s="31" t="s">
        <v>308</v>
      </c>
      <c r="D223" s="31" t="s">
        <v>235</v>
      </c>
      <c r="G223" s="31" t="s">
        <v>38</v>
      </c>
      <c r="H223" s="42" t="s">
        <v>309</v>
      </c>
      <c r="I223" s="42"/>
      <c r="K223" s="35" t="s">
        <v>382</v>
      </c>
      <c r="P223" s="32" t="s">
        <v>40</v>
      </c>
    </row>
    <row r="224" spans="1:16" ht="15" customHeight="1">
      <c r="A224" s="36">
        <v>223</v>
      </c>
      <c r="B224" s="31" t="s">
        <v>383</v>
      </c>
      <c r="C224" s="31" t="s">
        <v>308</v>
      </c>
      <c r="D224" s="31" t="s">
        <v>235</v>
      </c>
      <c r="G224" s="31" t="s">
        <v>38</v>
      </c>
      <c r="H224" s="42" t="s">
        <v>309</v>
      </c>
      <c r="I224" s="42"/>
      <c r="K224" s="35" t="s">
        <v>384</v>
      </c>
      <c r="P224" s="32" t="s">
        <v>40</v>
      </c>
    </row>
    <row r="225" spans="1:16" ht="15" customHeight="1">
      <c r="A225" s="36">
        <v>224</v>
      </c>
      <c r="B225" s="31" t="s">
        <v>385</v>
      </c>
      <c r="C225" s="31" t="s">
        <v>308</v>
      </c>
      <c r="D225" s="31" t="s">
        <v>66</v>
      </c>
      <c r="G225" s="31" t="s">
        <v>38</v>
      </c>
      <c r="H225" s="42" t="s">
        <v>309</v>
      </c>
      <c r="I225" s="42"/>
      <c r="K225" s="35" t="s">
        <v>386</v>
      </c>
      <c r="P225" s="32" t="s">
        <v>40</v>
      </c>
    </row>
    <row r="226" spans="1:16" ht="15" customHeight="1">
      <c r="A226" s="36">
        <v>225</v>
      </c>
      <c r="B226" s="31" t="s">
        <v>387</v>
      </c>
      <c r="C226" s="31" t="s">
        <v>308</v>
      </c>
      <c r="D226" s="31" t="s">
        <v>66</v>
      </c>
      <c r="G226" s="31" t="s">
        <v>38</v>
      </c>
      <c r="H226" s="42" t="s">
        <v>309</v>
      </c>
      <c r="I226" s="42"/>
      <c r="K226" s="35" t="s">
        <v>245</v>
      </c>
      <c r="P226" s="32" t="s">
        <v>40</v>
      </c>
    </row>
    <row r="227" spans="1:16" ht="15" customHeight="1">
      <c r="A227" s="36">
        <v>226</v>
      </c>
      <c r="B227" s="31" t="s">
        <v>388</v>
      </c>
      <c r="C227" s="31" t="s">
        <v>308</v>
      </c>
      <c r="D227" s="31" t="s">
        <v>66</v>
      </c>
      <c r="G227" s="31" t="s">
        <v>38</v>
      </c>
      <c r="H227" s="42" t="s">
        <v>309</v>
      </c>
      <c r="I227" s="42"/>
      <c r="K227" s="35" t="s">
        <v>389</v>
      </c>
      <c r="P227" s="32" t="s">
        <v>40</v>
      </c>
    </row>
    <row r="228" spans="1:16" ht="15" customHeight="1">
      <c r="A228" s="36">
        <v>227</v>
      </c>
      <c r="B228" s="31" t="s">
        <v>390</v>
      </c>
      <c r="C228" s="31" t="s">
        <v>391</v>
      </c>
      <c r="D228" s="31" t="s">
        <v>66</v>
      </c>
      <c r="G228" s="31" t="s">
        <v>38</v>
      </c>
      <c r="H228" s="42" t="s">
        <v>309</v>
      </c>
      <c r="I228" s="42"/>
      <c r="K228" s="35">
        <v>46129</v>
      </c>
      <c r="P228" s="32" t="s">
        <v>40</v>
      </c>
    </row>
    <row r="229" spans="1:16" ht="15" customHeight="1">
      <c r="A229" s="36">
        <v>228</v>
      </c>
      <c r="B229" s="31" t="s">
        <v>392</v>
      </c>
      <c r="C229" s="31" t="s">
        <v>393</v>
      </c>
      <c r="D229" s="31" t="s">
        <v>182</v>
      </c>
      <c r="G229" s="31" t="s">
        <v>38</v>
      </c>
      <c r="H229" s="42" t="s">
        <v>309</v>
      </c>
      <c r="I229" s="42"/>
      <c r="K229" s="35" t="s">
        <v>394</v>
      </c>
      <c r="P229" s="32" t="s">
        <v>40</v>
      </c>
    </row>
    <row r="230" spans="1:16" ht="15" customHeight="1">
      <c r="A230" s="36">
        <v>229</v>
      </c>
      <c r="B230" s="31" t="s">
        <v>395</v>
      </c>
      <c r="C230" s="31" t="s">
        <v>308</v>
      </c>
      <c r="D230" s="31" t="s">
        <v>182</v>
      </c>
      <c r="G230" s="31" t="s">
        <v>38</v>
      </c>
      <c r="H230" s="42" t="s">
        <v>309</v>
      </c>
      <c r="I230" s="42"/>
      <c r="K230" s="35" t="s">
        <v>396</v>
      </c>
      <c r="P230" s="32" t="s">
        <v>40</v>
      </c>
    </row>
    <row r="231" spans="1:16" ht="15" customHeight="1">
      <c r="A231" s="36">
        <v>230</v>
      </c>
      <c r="B231" s="31" t="s">
        <v>397</v>
      </c>
      <c r="C231" s="31" t="s">
        <v>308</v>
      </c>
      <c r="D231" s="31" t="s">
        <v>136</v>
      </c>
      <c r="G231" s="31" t="s">
        <v>38</v>
      </c>
      <c r="H231" s="42" t="s">
        <v>309</v>
      </c>
      <c r="I231" s="42"/>
      <c r="K231" s="35" t="s">
        <v>398</v>
      </c>
      <c r="P231" s="32" t="s">
        <v>40</v>
      </c>
    </row>
    <row r="232" spans="1:16" ht="15" customHeight="1">
      <c r="A232" s="36">
        <v>231</v>
      </c>
      <c r="B232" s="31" t="s">
        <v>399</v>
      </c>
      <c r="C232" s="31" t="s">
        <v>308</v>
      </c>
      <c r="D232" s="31" t="s">
        <v>136</v>
      </c>
      <c r="G232" s="31" t="s">
        <v>38</v>
      </c>
      <c r="H232" s="42" t="s">
        <v>309</v>
      </c>
      <c r="I232" s="42"/>
      <c r="K232" s="35" t="s">
        <v>400</v>
      </c>
      <c r="P232" s="32" t="s">
        <v>40</v>
      </c>
    </row>
    <row r="233" spans="1:16" ht="15" customHeight="1">
      <c r="A233" s="36">
        <v>232</v>
      </c>
      <c r="B233" s="31" t="s">
        <v>401</v>
      </c>
      <c r="C233" s="31" t="s">
        <v>308</v>
      </c>
      <c r="D233" s="31" t="s">
        <v>205</v>
      </c>
      <c r="G233" s="31" t="s">
        <v>38</v>
      </c>
      <c r="H233" s="42" t="s">
        <v>309</v>
      </c>
      <c r="I233" s="42"/>
      <c r="K233" s="35" t="s">
        <v>402</v>
      </c>
      <c r="P233" s="32" t="s">
        <v>40</v>
      </c>
    </row>
    <row r="234" spans="1:16" ht="15" customHeight="1">
      <c r="A234" s="36">
        <v>233</v>
      </c>
      <c r="B234" s="31" t="s">
        <v>403</v>
      </c>
      <c r="C234" s="31" t="s">
        <v>308</v>
      </c>
      <c r="D234" s="31" t="s">
        <v>205</v>
      </c>
      <c r="G234" s="31" t="s">
        <v>38</v>
      </c>
      <c r="H234" s="42" t="s">
        <v>309</v>
      </c>
      <c r="I234" s="42"/>
      <c r="K234" s="35" t="s">
        <v>402</v>
      </c>
      <c r="P234" s="32" t="s">
        <v>40</v>
      </c>
    </row>
    <row r="235" spans="1:16" ht="15" customHeight="1">
      <c r="A235" s="36">
        <v>234</v>
      </c>
      <c r="B235" s="31" t="s">
        <v>404</v>
      </c>
      <c r="C235" s="31" t="s">
        <v>405</v>
      </c>
      <c r="D235" s="31" t="s">
        <v>37</v>
      </c>
      <c r="G235" s="31" t="s">
        <v>38</v>
      </c>
      <c r="H235" s="42" t="s">
        <v>309</v>
      </c>
      <c r="I235" s="42"/>
      <c r="K235" s="35">
        <v>46155</v>
      </c>
      <c r="P235" s="32" t="s">
        <v>40</v>
      </c>
    </row>
    <row r="236" spans="1:16" ht="15" customHeight="1">
      <c r="A236" s="36">
        <v>235</v>
      </c>
      <c r="B236" s="31" t="s">
        <v>404</v>
      </c>
      <c r="C236" s="31" t="s">
        <v>364</v>
      </c>
      <c r="D236" s="31" t="s">
        <v>37</v>
      </c>
      <c r="G236" s="31" t="s">
        <v>38</v>
      </c>
      <c r="H236" s="42" t="s">
        <v>309</v>
      </c>
      <c r="I236" s="42"/>
      <c r="K236" s="35">
        <v>46155</v>
      </c>
      <c r="P236" s="32" t="s">
        <v>40</v>
      </c>
    </row>
    <row r="237" spans="1:16" ht="15" customHeight="1">
      <c r="A237" s="36">
        <v>236</v>
      </c>
      <c r="B237" s="31" t="s">
        <v>264</v>
      </c>
      <c r="C237" s="31" t="s">
        <v>364</v>
      </c>
      <c r="D237" s="42" t="s">
        <v>205</v>
      </c>
      <c r="E237" s="42"/>
      <c r="G237" s="31" t="s">
        <v>44</v>
      </c>
      <c r="H237" s="42" t="s">
        <v>309</v>
      </c>
      <c r="I237" s="42"/>
      <c r="J237" s="31" t="s">
        <v>346</v>
      </c>
      <c r="K237" s="35">
        <v>46161</v>
      </c>
      <c r="P237" s="32" t="s">
        <v>45</v>
      </c>
    </row>
    <row r="238" spans="1:16" ht="15" customHeight="1">
      <c r="A238" s="36">
        <v>237</v>
      </c>
      <c r="B238" s="31" t="s">
        <v>406</v>
      </c>
      <c r="C238" s="31" t="s">
        <v>364</v>
      </c>
      <c r="D238" s="42" t="s">
        <v>205</v>
      </c>
      <c r="E238" s="42"/>
      <c r="G238" s="31" t="s">
        <v>44</v>
      </c>
      <c r="H238" s="42" t="s">
        <v>309</v>
      </c>
      <c r="I238" s="42"/>
      <c r="K238" s="35">
        <v>46162</v>
      </c>
      <c r="P238" s="32" t="s">
        <v>45</v>
      </c>
    </row>
    <row r="239" spans="1:16" ht="15" customHeight="1">
      <c r="A239" s="36">
        <v>238</v>
      </c>
      <c r="B239" s="31" t="s">
        <v>407</v>
      </c>
      <c r="C239" s="31" t="s">
        <v>364</v>
      </c>
      <c r="D239" s="42" t="s">
        <v>205</v>
      </c>
      <c r="E239" s="42"/>
      <c r="G239" s="31" t="s">
        <v>38</v>
      </c>
      <c r="H239" s="42" t="s">
        <v>309</v>
      </c>
      <c r="I239" s="42"/>
      <c r="J239" s="31" t="s">
        <v>346</v>
      </c>
      <c r="K239" s="35">
        <v>46164</v>
      </c>
      <c r="N239" s="35">
        <v>46232</v>
      </c>
      <c r="P239" s="32" t="s">
        <v>40</v>
      </c>
    </row>
    <row r="240" spans="1:16" ht="15" customHeight="1">
      <c r="A240" s="36">
        <v>239</v>
      </c>
      <c r="B240" s="31" t="s">
        <v>408</v>
      </c>
      <c r="C240" s="31" t="s">
        <v>409</v>
      </c>
      <c r="D240" s="31" t="s">
        <v>211</v>
      </c>
      <c r="G240" s="31" t="s">
        <v>38</v>
      </c>
      <c r="H240" s="42" t="s">
        <v>309</v>
      </c>
      <c r="I240" s="42"/>
      <c r="J240" s="31" t="s">
        <v>184</v>
      </c>
      <c r="K240" s="35">
        <v>46164</v>
      </c>
      <c r="L240" s="35"/>
      <c r="N240" s="35">
        <v>46181</v>
      </c>
      <c r="P240" s="32" t="s">
        <v>40</v>
      </c>
    </row>
    <row r="241" spans="1:16" ht="15" customHeight="1">
      <c r="A241" s="36">
        <v>240</v>
      </c>
      <c r="B241" s="31" t="s">
        <v>410</v>
      </c>
      <c r="C241" s="31" t="s">
        <v>308</v>
      </c>
      <c r="D241" s="31" t="s">
        <v>187</v>
      </c>
      <c r="G241" s="31" t="s">
        <v>38</v>
      </c>
      <c r="H241" s="42" t="s">
        <v>309</v>
      </c>
      <c r="I241" s="42"/>
      <c r="K241" s="35">
        <v>46167</v>
      </c>
      <c r="P241" s="32" t="s">
        <v>40</v>
      </c>
    </row>
    <row r="242" spans="1:16" ht="15" customHeight="1">
      <c r="A242" s="36">
        <v>241</v>
      </c>
      <c r="B242" s="31" t="s">
        <v>411</v>
      </c>
      <c r="C242" s="31" t="s">
        <v>412</v>
      </c>
      <c r="D242" s="31" t="s">
        <v>291</v>
      </c>
      <c r="G242" s="31" t="s">
        <v>44</v>
      </c>
      <c r="H242" s="42" t="s">
        <v>309</v>
      </c>
      <c r="I242" s="42"/>
      <c r="J242" s="31" t="s">
        <v>139</v>
      </c>
      <c r="K242" s="35">
        <v>46143</v>
      </c>
      <c r="P242" s="32" t="s">
        <v>45</v>
      </c>
    </row>
    <row r="243" spans="1:16" ht="15" customHeight="1">
      <c r="A243" s="36">
        <v>242</v>
      </c>
      <c r="B243" s="31" t="s">
        <v>413</v>
      </c>
      <c r="C243" s="31" t="s">
        <v>308</v>
      </c>
      <c r="D243" s="31" t="s">
        <v>211</v>
      </c>
      <c r="G243" s="31" t="s">
        <v>44</v>
      </c>
      <c r="H243" s="42" t="s">
        <v>309</v>
      </c>
      <c r="I243" s="42"/>
      <c r="J243" s="31" t="s">
        <v>184</v>
      </c>
      <c r="K243" s="35">
        <v>46176</v>
      </c>
      <c r="P243" s="32" t="s">
        <v>40</v>
      </c>
    </row>
    <row r="244" spans="1:16" ht="15" customHeight="1">
      <c r="A244" s="36">
        <v>243</v>
      </c>
      <c r="B244" s="31" t="s">
        <v>414</v>
      </c>
      <c r="C244" s="31" t="s">
        <v>415</v>
      </c>
      <c r="D244" s="31" t="s">
        <v>79</v>
      </c>
      <c r="G244" s="31" t="s">
        <v>44</v>
      </c>
      <c r="H244" s="42" t="s">
        <v>309</v>
      </c>
      <c r="I244" s="42"/>
      <c r="J244" s="31" t="s">
        <v>346</v>
      </c>
      <c r="K244" s="35">
        <v>46177</v>
      </c>
      <c r="P244" s="32" t="s">
        <v>45</v>
      </c>
    </row>
    <row r="245" spans="1:16" ht="15" customHeight="1">
      <c r="A245" s="36">
        <v>244</v>
      </c>
      <c r="B245" s="31" t="s">
        <v>416</v>
      </c>
      <c r="C245" s="31" t="s">
        <v>409</v>
      </c>
      <c r="D245" s="31" t="s">
        <v>54</v>
      </c>
      <c r="G245" s="31" t="s">
        <v>44</v>
      </c>
      <c r="H245" s="42" t="s">
        <v>309</v>
      </c>
      <c r="I245" s="42"/>
      <c r="J245" s="31" t="s">
        <v>139</v>
      </c>
      <c r="K245" s="35">
        <v>46178</v>
      </c>
      <c r="P245" s="32" t="s">
        <v>45</v>
      </c>
    </row>
    <row r="246" spans="1:16" ht="15" customHeight="1">
      <c r="A246" s="36">
        <v>245</v>
      </c>
      <c r="B246" s="31" t="s">
        <v>417</v>
      </c>
      <c r="C246" s="31" t="s">
        <v>418</v>
      </c>
      <c r="D246" s="31" t="s">
        <v>211</v>
      </c>
      <c r="G246" s="31" t="s">
        <v>38</v>
      </c>
      <c r="H246" s="42" t="s">
        <v>309</v>
      </c>
      <c r="I246" s="42"/>
      <c r="J246" s="31" t="s">
        <v>184</v>
      </c>
      <c r="K246" s="35">
        <v>46178</v>
      </c>
      <c r="P246" s="32" t="s">
        <v>40</v>
      </c>
    </row>
    <row r="247" spans="1:16" ht="15" customHeight="1">
      <c r="A247" s="36">
        <v>246</v>
      </c>
      <c r="B247" s="31" t="s">
        <v>419</v>
      </c>
      <c r="C247" s="31" t="s">
        <v>409</v>
      </c>
      <c r="D247" s="31" t="s">
        <v>271</v>
      </c>
      <c r="G247" s="31" t="s">
        <v>44</v>
      </c>
      <c r="H247" s="42" t="s">
        <v>309</v>
      </c>
      <c r="I247" s="42"/>
      <c r="J247" s="31" t="s">
        <v>139</v>
      </c>
      <c r="K247" s="35">
        <v>46178</v>
      </c>
      <c r="P247" s="32" t="s">
        <v>45</v>
      </c>
    </row>
    <row r="248" spans="1:16" ht="15" customHeight="1">
      <c r="A248" s="36">
        <v>247</v>
      </c>
      <c r="B248" s="31" t="s">
        <v>420</v>
      </c>
      <c r="C248" s="31" t="s">
        <v>366</v>
      </c>
      <c r="D248" s="31" t="s">
        <v>284</v>
      </c>
      <c r="G248" s="31" t="s">
        <v>44</v>
      </c>
      <c r="H248" s="42" t="s">
        <v>309</v>
      </c>
      <c r="I248" s="42"/>
      <c r="J248" s="31" t="s">
        <v>354</v>
      </c>
      <c r="K248" s="35">
        <v>46182</v>
      </c>
      <c r="P248" s="32" t="s">
        <v>45</v>
      </c>
    </row>
    <row r="249" spans="1:16" ht="15" customHeight="1">
      <c r="A249" s="36">
        <v>248</v>
      </c>
      <c r="B249" s="31" t="s">
        <v>421</v>
      </c>
      <c r="C249" s="31" t="s">
        <v>418</v>
      </c>
      <c r="D249" s="31" t="s">
        <v>211</v>
      </c>
      <c r="G249" s="31" t="s">
        <v>38</v>
      </c>
      <c r="H249" s="42" t="s">
        <v>309</v>
      </c>
      <c r="I249" s="42"/>
      <c r="J249" s="31" t="s">
        <v>354</v>
      </c>
      <c r="K249" s="35">
        <v>46182</v>
      </c>
      <c r="P249" s="32" t="s">
        <v>40</v>
      </c>
    </row>
    <row r="250" spans="1:16" ht="15" customHeight="1">
      <c r="A250" s="36">
        <v>249</v>
      </c>
      <c r="B250" s="31" t="s">
        <v>422</v>
      </c>
      <c r="C250" s="31" t="s">
        <v>418</v>
      </c>
      <c r="D250" s="31" t="s">
        <v>211</v>
      </c>
      <c r="G250" s="31" t="s">
        <v>38</v>
      </c>
      <c r="H250" s="42" t="s">
        <v>309</v>
      </c>
      <c r="I250" s="42"/>
      <c r="J250" s="31" t="s">
        <v>354</v>
      </c>
      <c r="K250" s="35">
        <v>46182</v>
      </c>
      <c r="P250" s="32" t="s">
        <v>40</v>
      </c>
    </row>
    <row r="251" spans="1:16" ht="15" customHeight="1">
      <c r="A251" s="36">
        <v>250</v>
      </c>
      <c r="B251" s="31" t="s">
        <v>423</v>
      </c>
      <c r="C251" s="31" t="s">
        <v>418</v>
      </c>
      <c r="D251" s="31" t="s">
        <v>211</v>
      </c>
      <c r="G251" s="31" t="s">
        <v>38</v>
      </c>
      <c r="H251" s="42" t="s">
        <v>309</v>
      </c>
      <c r="I251" s="42"/>
      <c r="J251" s="31" t="s">
        <v>184</v>
      </c>
      <c r="K251" s="35">
        <v>46182</v>
      </c>
      <c r="P251" s="32" t="s">
        <v>40</v>
      </c>
    </row>
    <row r="252" spans="1:16" ht="15" customHeight="1">
      <c r="A252" s="36">
        <v>251</v>
      </c>
      <c r="B252" s="31" t="s">
        <v>424</v>
      </c>
      <c r="C252" s="31" t="s">
        <v>418</v>
      </c>
      <c r="D252" s="31" t="s">
        <v>54</v>
      </c>
      <c r="G252" s="31" t="s">
        <v>44</v>
      </c>
      <c r="H252" s="42" t="s">
        <v>309</v>
      </c>
      <c r="I252" s="42"/>
      <c r="J252" s="31" t="s">
        <v>93</v>
      </c>
      <c r="K252" s="35">
        <v>46182</v>
      </c>
      <c r="P252" s="32" t="s">
        <v>40</v>
      </c>
    </row>
    <row r="253" spans="1:16" ht="15" customHeight="1">
      <c r="A253" s="36">
        <v>252</v>
      </c>
      <c r="B253" s="31" t="s">
        <v>425</v>
      </c>
      <c r="C253" s="31" t="s">
        <v>418</v>
      </c>
      <c r="D253" s="31" t="s">
        <v>79</v>
      </c>
      <c r="F253" s="31" t="s">
        <v>426</v>
      </c>
      <c r="G253" s="31" t="s">
        <v>44</v>
      </c>
      <c r="H253" s="42" t="s">
        <v>309</v>
      </c>
      <c r="I253" s="42"/>
      <c r="J253" s="31" t="s">
        <v>354</v>
      </c>
      <c r="K253" s="35">
        <v>46182</v>
      </c>
      <c r="L253" s="35">
        <v>46241</v>
      </c>
      <c r="M253" s="31" t="s">
        <v>427</v>
      </c>
      <c r="P253" s="32" t="s">
        <v>45</v>
      </c>
    </row>
    <row r="254" spans="1:16" ht="15" customHeight="1">
      <c r="A254" s="36">
        <v>253</v>
      </c>
      <c r="B254" s="31" t="s">
        <v>428</v>
      </c>
      <c r="C254" s="31" t="s">
        <v>418</v>
      </c>
      <c r="D254" s="42" t="s">
        <v>205</v>
      </c>
      <c r="E254" s="42"/>
      <c r="G254" s="31" t="s">
        <v>44</v>
      </c>
      <c r="H254" s="42" t="s">
        <v>309</v>
      </c>
      <c r="I254" s="42"/>
      <c r="J254" s="31" t="s">
        <v>184</v>
      </c>
      <c r="K254" s="35">
        <v>46183</v>
      </c>
      <c r="P254" s="32" t="s">
        <v>45</v>
      </c>
    </row>
    <row r="255" spans="1:16" ht="15" customHeight="1">
      <c r="A255" s="36">
        <v>254</v>
      </c>
      <c r="B255" s="31" t="s">
        <v>429</v>
      </c>
      <c r="C255" s="31" t="s">
        <v>418</v>
      </c>
      <c r="D255" s="31" t="s">
        <v>277</v>
      </c>
      <c r="G255" s="31" t="s">
        <v>44</v>
      </c>
      <c r="H255" s="42" t="s">
        <v>309</v>
      </c>
      <c r="I255" s="42"/>
      <c r="J255" s="31" t="s">
        <v>354</v>
      </c>
      <c r="K255" s="35">
        <v>46183</v>
      </c>
      <c r="P255" s="32" t="s">
        <v>45</v>
      </c>
    </row>
    <row r="256" spans="1:16" ht="15" customHeight="1">
      <c r="A256" s="36">
        <v>255</v>
      </c>
      <c r="B256" s="31" t="s">
        <v>430</v>
      </c>
      <c r="C256" s="31" t="s">
        <v>418</v>
      </c>
      <c r="D256" s="31" t="s">
        <v>277</v>
      </c>
      <c r="G256" s="31" t="s">
        <v>44</v>
      </c>
      <c r="H256" s="42" t="s">
        <v>309</v>
      </c>
      <c r="I256" s="42"/>
      <c r="J256" s="31" t="s">
        <v>184</v>
      </c>
      <c r="K256" s="35">
        <v>46183</v>
      </c>
      <c r="P256" s="32" t="s">
        <v>45</v>
      </c>
    </row>
    <row r="257" spans="1:16" ht="15" customHeight="1">
      <c r="A257" s="36">
        <v>256</v>
      </c>
      <c r="B257" s="31" t="s">
        <v>431</v>
      </c>
      <c r="C257" s="31" t="s">
        <v>432</v>
      </c>
      <c r="D257" s="42" t="s">
        <v>205</v>
      </c>
      <c r="E257" s="42"/>
      <c r="G257" s="31" t="s">
        <v>44</v>
      </c>
      <c r="H257" s="42" t="s">
        <v>309</v>
      </c>
      <c r="I257" s="42"/>
      <c r="J257" s="31" t="s">
        <v>184</v>
      </c>
      <c r="K257" s="35">
        <v>46183</v>
      </c>
      <c r="P257" s="32" t="s">
        <v>45</v>
      </c>
    </row>
    <row r="258" spans="1:16" ht="15" customHeight="1">
      <c r="A258" s="36">
        <v>257</v>
      </c>
      <c r="B258" s="31" t="s">
        <v>433</v>
      </c>
      <c r="C258" s="31" t="s">
        <v>418</v>
      </c>
      <c r="D258" s="42" t="s">
        <v>205</v>
      </c>
      <c r="E258" s="42"/>
      <c r="G258" s="31" t="s">
        <v>38</v>
      </c>
      <c r="H258" s="42" t="s">
        <v>309</v>
      </c>
      <c r="I258" s="42"/>
      <c r="J258" s="31" t="s">
        <v>139</v>
      </c>
      <c r="K258" s="35">
        <v>46183</v>
      </c>
      <c r="P258" s="32" t="s">
        <v>40</v>
      </c>
    </row>
    <row r="259" spans="1:16" ht="15" customHeight="1">
      <c r="A259" s="36">
        <v>258</v>
      </c>
      <c r="B259" s="31" t="s">
        <v>434</v>
      </c>
      <c r="C259" s="31" t="s">
        <v>418</v>
      </c>
      <c r="D259" s="42" t="s">
        <v>205</v>
      </c>
      <c r="E259" s="42"/>
      <c r="G259" s="31" t="s">
        <v>44</v>
      </c>
      <c r="H259" s="42" t="s">
        <v>309</v>
      </c>
      <c r="I259" s="42"/>
      <c r="J259" s="31" t="s">
        <v>139</v>
      </c>
      <c r="K259" s="35">
        <v>46183</v>
      </c>
      <c r="P259" s="32" t="s">
        <v>45</v>
      </c>
    </row>
    <row r="260" spans="1:16" ht="15" customHeight="1">
      <c r="A260" s="36">
        <v>259</v>
      </c>
      <c r="B260" s="31" t="s">
        <v>435</v>
      </c>
      <c r="C260" s="31" t="s">
        <v>418</v>
      </c>
      <c r="D260" s="42" t="s">
        <v>205</v>
      </c>
      <c r="E260" s="42"/>
      <c r="G260" s="31" t="s">
        <v>44</v>
      </c>
      <c r="H260" s="42" t="s">
        <v>309</v>
      </c>
      <c r="I260" s="42"/>
      <c r="J260" s="31" t="s">
        <v>139</v>
      </c>
      <c r="K260" s="35">
        <v>46183</v>
      </c>
      <c r="P260" s="32" t="s">
        <v>45</v>
      </c>
    </row>
    <row r="261" spans="1:16" ht="15" customHeight="1">
      <c r="A261" s="36">
        <v>260</v>
      </c>
      <c r="B261" s="31" t="s">
        <v>436</v>
      </c>
      <c r="C261" s="31" t="s">
        <v>418</v>
      </c>
      <c r="D261" s="42" t="s">
        <v>205</v>
      </c>
      <c r="E261" s="42"/>
      <c r="G261" s="31" t="s">
        <v>44</v>
      </c>
      <c r="H261" s="42" t="s">
        <v>309</v>
      </c>
      <c r="I261" s="42"/>
      <c r="J261" s="31" t="s">
        <v>346</v>
      </c>
      <c r="K261" s="35">
        <v>46183</v>
      </c>
      <c r="P261" s="32" t="s">
        <v>45</v>
      </c>
    </row>
    <row r="262" spans="1:16" ht="15" customHeight="1">
      <c r="A262" s="36">
        <v>261</v>
      </c>
      <c r="B262" s="31" t="s">
        <v>437</v>
      </c>
      <c r="C262" s="31" t="s">
        <v>366</v>
      </c>
      <c r="D262" s="31" t="s">
        <v>263</v>
      </c>
      <c r="G262" s="31" t="s">
        <v>44</v>
      </c>
      <c r="H262" s="42" t="s">
        <v>309</v>
      </c>
      <c r="I262" s="42"/>
      <c r="J262" s="31" t="s">
        <v>184</v>
      </c>
      <c r="K262" s="35">
        <v>46188</v>
      </c>
      <c r="P262" s="32" t="s">
        <v>45</v>
      </c>
    </row>
    <row r="263" spans="1:16" ht="15" customHeight="1">
      <c r="A263" s="36">
        <v>262</v>
      </c>
      <c r="B263" s="31" t="s">
        <v>438</v>
      </c>
      <c r="C263" s="31" t="s">
        <v>439</v>
      </c>
      <c r="D263" s="31" t="s">
        <v>37</v>
      </c>
      <c r="G263" s="31" t="s">
        <v>44</v>
      </c>
      <c r="H263" s="42" t="s">
        <v>309</v>
      </c>
      <c r="I263" s="42"/>
      <c r="J263" s="31" t="s">
        <v>184</v>
      </c>
      <c r="K263" s="35">
        <v>46189</v>
      </c>
      <c r="P263" s="32" t="s">
        <v>45</v>
      </c>
    </row>
    <row r="264" spans="1:16" ht="15" customHeight="1">
      <c r="A264" s="36">
        <v>263</v>
      </c>
      <c r="B264" s="31" t="s">
        <v>440</v>
      </c>
      <c r="C264" s="31" t="s">
        <v>439</v>
      </c>
      <c r="D264" s="31" t="s">
        <v>37</v>
      </c>
      <c r="G264" s="31" t="s">
        <v>44</v>
      </c>
      <c r="H264" s="42" t="s">
        <v>309</v>
      </c>
      <c r="I264" s="42"/>
      <c r="J264" s="31" t="s">
        <v>184</v>
      </c>
      <c r="K264" s="35">
        <v>46189</v>
      </c>
      <c r="P264" s="32" t="s">
        <v>45</v>
      </c>
    </row>
    <row r="265" spans="1:16" ht="15" customHeight="1">
      <c r="A265" s="36">
        <v>264</v>
      </c>
      <c r="B265" s="31" t="s">
        <v>441</v>
      </c>
      <c r="C265" s="31" t="s">
        <v>364</v>
      </c>
      <c r="D265" s="31" t="s">
        <v>205</v>
      </c>
      <c r="G265" s="31" t="s">
        <v>44</v>
      </c>
      <c r="H265" s="42" t="s">
        <v>309</v>
      </c>
      <c r="I265" s="42"/>
      <c r="J265" s="31" t="s">
        <v>184</v>
      </c>
      <c r="K265" s="35">
        <v>46189</v>
      </c>
      <c r="P265" s="32" t="s">
        <v>45</v>
      </c>
    </row>
    <row r="266" spans="1:16" ht="15" customHeight="1">
      <c r="A266" s="36">
        <v>265</v>
      </c>
      <c r="B266" s="31" t="s">
        <v>442</v>
      </c>
      <c r="C266" s="31" t="s">
        <v>443</v>
      </c>
      <c r="D266" s="31" t="s">
        <v>205</v>
      </c>
      <c r="G266" s="31" t="s">
        <v>44</v>
      </c>
      <c r="H266" s="42" t="s">
        <v>309</v>
      </c>
      <c r="I266" s="42"/>
      <c r="J266" s="31" t="s">
        <v>184</v>
      </c>
      <c r="K266" s="35">
        <v>46189</v>
      </c>
      <c r="P266" s="32" t="s">
        <v>45</v>
      </c>
    </row>
    <row r="267" spans="1:16" ht="15" customHeight="1">
      <c r="A267" s="36">
        <v>266</v>
      </c>
      <c r="B267" s="31" t="s">
        <v>444</v>
      </c>
      <c r="C267" s="31" t="s">
        <v>445</v>
      </c>
      <c r="D267" s="31" t="s">
        <v>197</v>
      </c>
      <c r="G267" s="31" t="s">
        <v>44</v>
      </c>
      <c r="H267" s="42" t="s">
        <v>309</v>
      </c>
      <c r="I267" s="42"/>
      <c r="J267" s="31" t="s">
        <v>184</v>
      </c>
      <c r="K267" s="35">
        <v>46189</v>
      </c>
      <c r="P267" s="32" t="s">
        <v>45</v>
      </c>
    </row>
    <row r="268" spans="1:16" ht="15" customHeight="1">
      <c r="A268" s="36">
        <v>267</v>
      </c>
      <c r="B268" s="31" t="s">
        <v>446</v>
      </c>
      <c r="C268" s="31" t="s">
        <v>447</v>
      </c>
      <c r="D268" s="31" t="s">
        <v>197</v>
      </c>
      <c r="G268" s="31" t="s">
        <v>44</v>
      </c>
      <c r="H268" s="42" t="s">
        <v>309</v>
      </c>
      <c r="I268" s="42"/>
      <c r="J268" s="31" t="s">
        <v>184</v>
      </c>
      <c r="K268" s="35">
        <v>46189</v>
      </c>
      <c r="P268" s="32" t="s">
        <v>45</v>
      </c>
    </row>
    <row r="269" spans="1:16" ht="15" customHeight="1">
      <c r="A269" s="36">
        <v>268</v>
      </c>
      <c r="B269" s="31" t="s">
        <v>448</v>
      </c>
      <c r="C269" s="31" t="s">
        <v>449</v>
      </c>
      <c r="D269" s="31" t="s">
        <v>205</v>
      </c>
      <c r="G269" s="31" t="s">
        <v>44</v>
      </c>
      <c r="H269" s="42" t="s">
        <v>309</v>
      </c>
      <c r="I269" s="42"/>
      <c r="J269" s="31" t="s">
        <v>93</v>
      </c>
      <c r="K269" s="35">
        <v>46191</v>
      </c>
      <c r="P269" s="32" t="s">
        <v>45</v>
      </c>
    </row>
    <row r="270" spans="1:16" ht="15" customHeight="1">
      <c r="A270" s="36">
        <v>269</v>
      </c>
      <c r="B270" s="31" t="s">
        <v>450</v>
      </c>
      <c r="C270" s="31" t="s">
        <v>451</v>
      </c>
      <c r="D270" s="31" t="s">
        <v>197</v>
      </c>
      <c r="G270" s="31" t="s">
        <v>44</v>
      </c>
      <c r="H270" s="42" t="s">
        <v>309</v>
      </c>
      <c r="I270" s="42"/>
      <c r="J270" s="31" t="s">
        <v>184</v>
      </c>
      <c r="K270" s="35">
        <v>46193</v>
      </c>
      <c r="P270" s="32" t="s">
        <v>45</v>
      </c>
    </row>
    <row r="271" spans="1:16" ht="15" customHeight="1">
      <c r="A271" s="36">
        <v>270</v>
      </c>
      <c r="B271" s="31" t="s">
        <v>452</v>
      </c>
      <c r="C271" s="31" t="s">
        <v>451</v>
      </c>
      <c r="D271" s="31" t="s">
        <v>197</v>
      </c>
      <c r="G271" s="31" t="s">
        <v>44</v>
      </c>
      <c r="H271" s="42" t="s">
        <v>309</v>
      </c>
      <c r="I271" s="42"/>
      <c r="J271" s="31" t="s">
        <v>184</v>
      </c>
      <c r="K271" s="35">
        <v>46193</v>
      </c>
      <c r="P271" s="32" t="s">
        <v>45</v>
      </c>
    </row>
    <row r="272" spans="1:16" ht="15" customHeight="1">
      <c r="A272" s="36">
        <v>271</v>
      </c>
      <c r="B272" s="31" t="s">
        <v>453</v>
      </c>
      <c r="C272" s="31" t="s">
        <v>454</v>
      </c>
      <c r="D272" s="31" t="s">
        <v>341</v>
      </c>
      <c r="G272" s="31" t="s">
        <v>44</v>
      </c>
      <c r="H272" s="42" t="s">
        <v>309</v>
      </c>
      <c r="I272" s="42"/>
      <c r="J272" s="31" t="s">
        <v>184</v>
      </c>
      <c r="K272" s="35">
        <v>46194</v>
      </c>
      <c r="P272" s="32" t="s">
        <v>45</v>
      </c>
    </row>
    <row r="273" spans="1:16" ht="15" customHeight="1">
      <c r="A273" s="36">
        <v>272</v>
      </c>
      <c r="B273" s="31" t="s">
        <v>455</v>
      </c>
      <c r="C273" s="31" t="s">
        <v>445</v>
      </c>
      <c r="D273" s="31" t="s">
        <v>263</v>
      </c>
      <c r="G273" s="31" t="s">
        <v>44</v>
      </c>
      <c r="H273" s="42" t="s">
        <v>309</v>
      </c>
      <c r="I273" s="42"/>
      <c r="J273" s="31" t="s">
        <v>139</v>
      </c>
      <c r="K273" s="35">
        <v>46195</v>
      </c>
      <c r="P273" s="32" t="s">
        <v>45</v>
      </c>
    </row>
    <row r="274" spans="1:16" ht="15" customHeight="1">
      <c r="A274" s="36">
        <v>273</v>
      </c>
      <c r="B274" s="31" t="s">
        <v>456</v>
      </c>
      <c r="C274" s="31" t="s">
        <v>445</v>
      </c>
      <c r="D274" s="31" t="s">
        <v>263</v>
      </c>
      <c r="G274" s="31" t="s">
        <v>44</v>
      </c>
      <c r="H274" s="42" t="s">
        <v>309</v>
      </c>
      <c r="I274" s="42"/>
      <c r="J274" s="31" t="s">
        <v>139</v>
      </c>
      <c r="K274" s="35">
        <v>46195</v>
      </c>
      <c r="P274" s="32" t="s">
        <v>45</v>
      </c>
    </row>
    <row r="275" spans="1:16" ht="15" customHeight="1">
      <c r="A275" s="36">
        <v>274</v>
      </c>
      <c r="B275" s="31" t="s">
        <v>456</v>
      </c>
      <c r="C275" s="31" t="s">
        <v>445</v>
      </c>
      <c r="D275" s="31" t="s">
        <v>263</v>
      </c>
      <c r="G275" s="31" t="s">
        <v>44</v>
      </c>
      <c r="H275" s="42" t="s">
        <v>309</v>
      </c>
      <c r="I275" s="42"/>
      <c r="J275" s="31" t="s">
        <v>139</v>
      </c>
      <c r="K275" s="35">
        <v>46195</v>
      </c>
      <c r="P275" s="32" t="s">
        <v>45</v>
      </c>
    </row>
    <row r="276" spans="1:16" ht="15" customHeight="1">
      <c r="A276" s="36">
        <v>275</v>
      </c>
      <c r="B276" s="31" t="s">
        <v>457</v>
      </c>
      <c r="C276" s="31" t="s">
        <v>458</v>
      </c>
      <c r="D276" s="31" t="s">
        <v>291</v>
      </c>
      <c r="G276" s="31" t="s">
        <v>44</v>
      </c>
      <c r="H276" s="42" t="s">
        <v>309</v>
      </c>
      <c r="I276" s="42"/>
      <c r="J276" s="31" t="s">
        <v>346</v>
      </c>
      <c r="K276" s="35">
        <v>46196</v>
      </c>
      <c r="P276" s="32" t="s">
        <v>45</v>
      </c>
    </row>
    <row r="277" spans="1:16" ht="15" customHeight="1">
      <c r="A277" s="36">
        <v>276</v>
      </c>
      <c r="B277" s="31" t="s">
        <v>459</v>
      </c>
      <c r="C277" s="31" t="s">
        <v>309</v>
      </c>
      <c r="D277" s="31" t="s">
        <v>187</v>
      </c>
      <c r="G277" s="31" t="s">
        <v>44</v>
      </c>
      <c r="H277" s="42" t="s">
        <v>309</v>
      </c>
      <c r="I277" s="42"/>
      <c r="J277" s="31" t="s">
        <v>354</v>
      </c>
      <c r="K277" s="35">
        <v>46196</v>
      </c>
      <c r="P277" s="32" t="s">
        <v>45</v>
      </c>
    </row>
    <row r="278" spans="1:16" ht="15" customHeight="1">
      <c r="A278" s="36">
        <v>277</v>
      </c>
      <c r="B278" s="31" t="s">
        <v>460</v>
      </c>
      <c r="C278" s="31" t="s">
        <v>309</v>
      </c>
      <c r="D278" s="31" t="s">
        <v>194</v>
      </c>
      <c r="G278" s="31" t="s">
        <v>44</v>
      </c>
      <c r="H278" s="42" t="s">
        <v>309</v>
      </c>
      <c r="I278" s="42"/>
      <c r="J278" s="31" t="s">
        <v>354</v>
      </c>
      <c r="K278" s="35">
        <v>46197</v>
      </c>
      <c r="P278" s="32" t="s">
        <v>45</v>
      </c>
    </row>
    <row r="279" spans="1:16" ht="15" customHeight="1">
      <c r="A279" s="36">
        <v>278</v>
      </c>
      <c r="B279" s="31" t="s">
        <v>461</v>
      </c>
      <c r="C279" s="31" t="s">
        <v>309</v>
      </c>
      <c r="D279" s="31" t="s">
        <v>277</v>
      </c>
      <c r="G279" s="31" t="s">
        <v>44</v>
      </c>
      <c r="H279" s="42" t="s">
        <v>309</v>
      </c>
      <c r="I279" s="42"/>
      <c r="J279" s="31" t="s">
        <v>184</v>
      </c>
      <c r="K279" s="35">
        <v>46198</v>
      </c>
      <c r="P279" s="32" t="s">
        <v>45</v>
      </c>
    </row>
    <row r="280" spans="1:16" ht="15" customHeight="1">
      <c r="A280" s="36">
        <v>279</v>
      </c>
      <c r="B280" s="31" t="s">
        <v>462</v>
      </c>
      <c r="C280" s="31" t="s">
        <v>451</v>
      </c>
      <c r="D280" s="31" t="s">
        <v>277</v>
      </c>
      <c r="G280" s="31" t="s">
        <v>44</v>
      </c>
      <c r="H280" s="42" t="s">
        <v>309</v>
      </c>
      <c r="I280" s="42"/>
      <c r="J280" s="31" t="s">
        <v>289</v>
      </c>
      <c r="K280" s="35">
        <v>46203</v>
      </c>
      <c r="P280" s="32" t="s">
        <v>45</v>
      </c>
    </row>
    <row r="281" spans="1:16" ht="15" customHeight="1">
      <c r="A281" s="36">
        <v>280</v>
      </c>
      <c r="B281" s="33" t="s">
        <v>134</v>
      </c>
      <c r="C281" s="31" t="s">
        <v>309</v>
      </c>
      <c r="D281" s="31" t="s">
        <v>136</v>
      </c>
      <c r="G281" s="31" t="s">
        <v>44</v>
      </c>
      <c r="H281" s="42" t="s">
        <v>309</v>
      </c>
      <c r="I281" s="42"/>
      <c r="J281" s="31" t="s">
        <v>184</v>
      </c>
      <c r="K281" s="35">
        <v>46211</v>
      </c>
      <c r="P281" s="32" t="s">
        <v>45</v>
      </c>
    </row>
    <row r="282" spans="1:16" ht="15" customHeight="1">
      <c r="A282" s="36">
        <v>281</v>
      </c>
      <c r="B282" s="48" t="s">
        <v>463</v>
      </c>
      <c r="C282" s="49" t="s">
        <v>464</v>
      </c>
      <c r="D282" s="31" t="s">
        <v>187</v>
      </c>
      <c r="G282" s="31" t="s">
        <v>38</v>
      </c>
      <c r="H282" s="42" t="s">
        <v>309</v>
      </c>
      <c r="I282" s="42"/>
      <c r="J282" s="31" t="s">
        <v>184</v>
      </c>
      <c r="K282" s="35">
        <v>46205</v>
      </c>
      <c r="N282" s="35">
        <v>46223</v>
      </c>
      <c r="P282" s="32" t="s">
        <v>40</v>
      </c>
    </row>
    <row r="283" spans="1:16" ht="15" customHeight="1">
      <c r="A283" s="36">
        <v>282</v>
      </c>
      <c r="B283" s="48" t="s">
        <v>465</v>
      </c>
      <c r="C283" s="49" t="s">
        <v>466</v>
      </c>
      <c r="D283" s="31" t="s">
        <v>158</v>
      </c>
      <c r="G283" s="31" t="s">
        <v>38</v>
      </c>
      <c r="H283" s="42" t="s">
        <v>309</v>
      </c>
      <c r="I283" s="42"/>
      <c r="J283" s="31" t="s">
        <v>184</v>
      </c>
      <c r="K283" s="35">
        <v>46205</v>
      </c>
      <c r="N283" s="35">
        <v>46232</v>
      </c>
      <c r="P283" s="32" t="s">
        <v>40</v>
      </c>
    </row>
    <row r="284" spans="1:16" ht="15" customHeight="1">
      <c r="A284" s="36">
        <v>283</v>
      </c>
      <c r="B284" s="48" t="s">
        <v>467</v>
      </c>
      <c r="C284" s="49" t="s">
        <v>466</v>
      </c>
      <c r="D284" s="31" t="s">
        <v>158</v>
      </c>
      <c r="G284" s="31" t="s">
        <v>38</v>
      </c>
      <c r="H284" s="42" t="s">
        <v>309</v>
      </c>
      <c r="I284" s="42"/>
      <c r="J284" s="31" t="s">
        <v>184</v>
      </c>
      <c r="K284" s="35">
        <v>46205</v>
      </c>
      <c r="N284" s="35">
        <v>46232</v>
      </c>
      <c r="P284" s="32" t="s">
        <v>40</v>
      </c>
    </row>
    <row r="285" spans="1:16" ht="15" customHeight="1">
      <c r="A285" s="36">
        <v>284</v>
      </c>
      <c r="B285" s="50" t="s">
        <v>468</v>
      </c>
      <c r="C285" s="31" t="s">
        <v>466</v>
      </c>
      <c r="D285" s="31" t="s">
        <v>158</v>
      </c>
      <c r="G285" s="31" t="s">
        <v>38</v>
      </c>
      <c r="H285" s="42" t="s">
        <v>309</v>
      </c>
      <c r="I285" s="42"/>
      <c r="J285" s="31" t="s">
        <v>184</v>
      </c>
      <c r="K285" s="35">
        <v>46205</v>
      </c>
      <c r="N285" s="35">
        <v>46232</v>
      </c>
      <c r="P285" s="32" t="s">
        <v>40</v>
      </c>
    </row>
    <row r="286" spans="1:16" ht="15" customHeight="1">
      <c r="A286" s="36">
        <v>285</v>
      </c>
      <c r="B286" s="31" t="s">
        <v>469</v>
      </c>
      <c r="C286" s="31" t="s">
        <v>470</v>
      </c>
      <c r="D286" s="31" t="s">
        <v>291</v>
      </c>
      <c r="G286" s="31" t="s">
        <v>44</v>
      </c>
      <c r="H286" s="42" t="s">
        <v>309</v>
      </c>
      <c r="I286" s="42"/>
      <c r="J286" s="31" t="s">
        <v>143</v>
      </c>
      <c r="K286" s="35">
        <v>46206</v>
      </c>
      <c r="P286" s="32" t="s">
        <v>45</v>
      </c>
    </row>
    <row r="287" spans="1:16" ht="15" customHeight="1">
      <c r="A287" s="36">
        <v>286</v>
      </c>
      <c r="B287" s="31" t="s">
        <v>471</v>
      </c>
      <c r="C287" s="31" t="s">
        <v>309</v>
      </c>
      <c r="D287" s="31" t="s">
        <v>271</v>
      </c>
      <c r="G287" s="31" t="s">
        <v>44</v>
      </c>
      <c r="H287" s="42" t="s">
        <v>309</v>
      </c>
      <c r="I287" s="42"/>
      <c r="J287" s="31" t="s">
        <v>139</v>
      </c>
      <c r="K287" s="35">
        <v>46205</v>
      </c>
      <c r="P287" s="32" t="s">
        <v>45</v>
      </c>
    </row>
    <row r="288" spans="1:16" ht="15" customHeight="1">
      <c r="A288" s="36">
        <v>287</v>
      </c>
      <c r="B288" s="31" t="s">
        <v>472</v>
      </c>
      <c r="C288" s="31" t="s">
        <v>309</v>
      </c>
      <c r="D288" s="31" t="s">
        <v>271</v>
      </c>
      <c r="G288" s="31" t="s">
        <v>44</v>
      </c>
      <c r="H288" s="42" t="s">
        <v>309</v>
      </c>
      <c r="I288" s="42"/>
      <c r="J288" s="31" t="s">
        <v>139</v>
      </c>
      <c r="K288" s="35">
        <v>46205</v>
      </c>
      <c r="P288" s="32" t="s">
        <v>45</v>
      </c>
    </row>
    <row r="289" spans="1:19" ht="15" customHeight="1">
      <c r="A289" s="36">
        <v>288</v>
      </c>
      <c r="B289" s="31" t="s">
        <v>473</v>
      </c>
      <c r="C289" s="31" t="s">
        <v>309</v>
      </c>
      <c r="D289" s="31" t="s">
        <v>271</v>
      </c>
      <c r="G289" s="31" t="s">
        <v>44</v>
      </c>
      <c r="H289" s="42" t="s">
        <v>309</v>
      </c>
      <c r="I289" s="42"/>
      <c r="J289" s="31" t="s">
        <v>139</v>
      </c>
      <c r="K289" s="35">
        <v>46205</v>
      </c>
      <c r="P289" s="32" t="s">
        <v>45</v>
      </c>
    </row>
    <row r="290" spans="1:19" ht="15" customHeight="1">
      <c r="A290" s="36">
        <v>289</v>
      </c>
      <c r="B290" s="31" t="s">
        <v>474</v>
      </c>
      <c r="C290" s="42" t="s">
        <v>475</v>
      </c>
      <c r="D290" s="31" t="s">
        <v>476</v>
      </c>
      <c r="G290" s="31" t="s">
        <v>38</v>
      </c>
      <c r="H290" s="42" t="s">
        <v>309</v>
      </c>
      <c r="I290" s="42"/>
      <c r="J290" s="31" t="s">
        <v>346</v>
      </c>
      <c r="K290" s="35">
        <v>46212</v>
      </c>
      <c r="N290" s="35">
        <v>46239</v>
      </c>
      <c r="P290" s="32" t="s">
        <v>45</v>
      </c>
    </row>
    <row r="291" spans="1:19" ht="15" customHeight="1">
      <c r="A291" s="36">
        <v>290</v>
      </c>
      <c r="B291" s="31" t="s">
        <v>477</v>
      </c>
      <c r="C291" s="31" t="s">
        <v>478</v>
      </c>
      <c r="D291" s="31" t="s">
        <v>63</v>
      </c>
      <c r="G291" s="31" t="s">
        <v>38</v>
      </c>
      <c r="H291" s="31" t="s">
        <v>309</v>
      </c>
      <c r="I291" s="42"/>
      <c r="J291" s="31" t="s">
        <v>306</v>
      </c>
      <c r="K291" s="35">
        <v>46153</v>
      </c>
      <c r="N291" s="35">
        <v>46225</v>
      </c>
      <c r="P291" s="32" t="s">
        <v>40</v>
      </c>
    </row>
    <row r="292" spans="1:19" ht="15" customHeight="1">
      <c r="A292" s="36">
        <v>291</v>
      </c>
      <c r="B292" s="31" t="s">
        <v>477</v>
      </c>
      <c r="C292" s="31" t="s">
        <v>479</v>
      </c>
      <c r="D292" s="31" t="s">
        <v>63</v>
      </c>
      <c r="G292" s="31" t="s">
        <v>38</v>
      </c>
      <c r="H292" s="31" t="s">
        <v>309</v>
      </c>
      <c r="I292" s="42"/>
      <c r="J292" s="31" t="s">
        <v>306</v>
      </c>
      <c r="K292" s="35">
        <v>46153</v>
      </c>
      <c r="N292" s="35">
        <v>46225</v>
      </c>
      <c r="P292" s="32" t="s">
        <v>40</v>
      </c>
    </row>
    <row r="293" spans="1:19" ht="15" customHeight="1">
      <c r="A293" s="36">
        <v>292</v>
      </c>
      <c r="B293" s="31" t="s">
        <v>480</v>
      </c>
      <c r="C293" s="31" t="s">
        <v>481</v>
      </c>
      <c r="D293" s="31" t="s">
        <v>271</v>
      </c>
      <c r="G293" s="31" t="s">
        <v>38</v>
      </c>
      <c r="H293" s="31" t="s">
        <v>309</v>
      </c>
      <c r="I293" s="42"/>
      <c r="J293" s="31" t="s">
        <v>122</v>
      </c>
      <c r="K293" s="35">
        <v>46211</v>
      </c>
      <c r="N293" s="35">
        <v>46223</v>
      </c>
      <c r="P293" s="32" t="s">
        <v>40</v>
      </c>
    </row>
    <row r="294" spans="1:19" ht="15" customHeight="1">
      <c r="A294" s="36">
        <v>293</v>
      </c>
      <c r="B294" s="31" t="s">
        <v>482</v>
      </c>
      <c r="C294" s="31" t="s">
        <v>483</v>
      </c>
      <c r="D294" s="31" t="s">
        <v>76</v>
      </c>
      <c r="G294" s="31" t="s">
        <v>38</v>
      </c>
      <c r="H294" s="31" t="s">
        <v>309</v>
      </c>
      <c r="I294" s="42"/>
      <c r="J294" s="31" t="s">
        <v>122</v>
      </c>
      <c r="K294" s="35">
        <v>46227</v>
      </c>
      <c r="N294" s="35">
        <v>46228</v>
      </c>
      <c r="P294" s="32" t="s">
        <v>40</v>
      </c>
    </row>
    <row r="295" spans="1:19" ht="15" customHeight="1">
      <c r="A295" s="36">
        <v>294</v>
      </c>
      <c r="B295" s="31" t="s">
        <v>202</v>
      </c>
      <c r="C295" s="31" t="s">
        <v>484</v>
      </c>
      <c r="D295" s="31" t="s">
        <v>291</v>
      </c>
      <c r="G295" s="31" t="s">
        <v>38</v>
      </c>
      <c r="H295" s="31" t="s">
        <v>485</v>
      </c>
      <c r="I295" s="42"/>
      <c r="J295" s="31" t="s">
        <v>122</v>
      </c>
      <c r="K295" s="35"/>
      <c r="P295" s="32" t="s">
        <v>45</v>
      </c>
    </row>
    <row r="296" spans="1:19" ht="15" customHeight="1">
      <c r="A296" s="36">
        <v>295</v>
      </c>
      <c r="B296" s="31" t="s">
        <v>359</v>
      </c>
      <c r="C296" s="31" t="s">
        <v>486</v>
      </c>
      <c r="D296" s="31" t="s">
        <v>271</v>
      </c>
      <c r="G296" s="31" t="s">
        <v>44</v>
      </c>
      <c r="H296" s="31" t="s">
        <v>309</v>
      </c>
      <c r="I296" s="42"/>
      <c r="J296" s="31" t="s">
        <v>354</v>
      </c>
      <c r="K296" s="35">
        <v>46140</v>
      </c>
      <c r="P296" s="32" t="s">
        <v>45</v>
      </c>
    </row>
    <row r="297" spans="1:19" ht="15" customHeight="1">
      <c r="A297" s="36">
        <v>296</v>
      </c>
      <c r="B297" s="31" t="s">
        <v>487</v>
      </c>
      <c r="C297" s="31" t="s">
        <v>488</v>
      </c>
      <c r="D297" s="31" t="s">
        <v>271</v>
      </c>
      <c r="G297" s="31" t="s">
        <v>38</v>
      </c>
      <c r="H297" s="31" t="s">
        <v>309</v>
      </c>
      <c r="I297" s="42"/>
      <c r="J297" s="31" t="s">
        <v>267</v>
      </c>
      <c r="K297" s="35">
        <v>46120</v>
      </c>
      <c r="N297" s="35">
        <v>46238</v>
      </c>
      <c r="P297" s="32" t="s">
        <v>45</v>
      </c>
    </row>
    <row r="298" spans="1:19" ht="15" customHeight="1">
      <c r="A298" s="36">
        <v>297</v>
      </c>
      <c r="B298" s="31" t="s">
        <v>487</v>
      </c>
      <c r="C298" s="31" t="s">
        <v>486</v>
      </c>
      <c r="D298" s="31" t="s">
        <v>271</v>
      </c>
      <c r="G298" s="31" t="s">
        <v>38</v>
      </c>
      <c r="H298" s="31" t="s">
        <v>309</v>
      </c>
      <c r="I298" s="42"/>
      <c r="J298" s="31" t="s">
        <v>267</v>
      </c>
      <c r="K298" s="35">
        <v>46120</v>
      </c>
      <c r="P298" s="32" t="s">
        <v>40</v>
      </c>
    </row>
    <row r="299" spans="1:19" ht="15" customHeight="1">
      <c r="A299" s="36">
        <v>298</v>
      </c>
      <c r="B299" s="31" t="s">
        <v>489</v>
      </c>
      <c r="C299" s="31" t="s">
        <v>216</v>
      </c>
      <c r="D299" s="31" t="s">
        <v>271</v>
      </c>
      <c r="G299" s="31" t="s">
        <v>44</v>
      </c>
      <c r="H299" s="31" t="s">
        <v>309</v>
      </c>
      <c r="I299" s="42"/>
      <c r="J299" s="31" t="s">
        <v>93</v>
      </c>
      <c r="K299" s="35">
        <v>46170</v>
      </c>
      <c r="P299" s="32" t="s">
        <v>45</v>
      </c>
    </row>
    <row r="300" spans="1:19" ht="15" customHeight="1">
      <c r="A300" s="36">
        <v>299</v>
      </c>
      <c r="B300" s="31" t="s">
        <v>490</v>
      </c>
      <c r="C300" s="31" t="s">
        <v>491</v>
      </c>
      <c r="D300" s="31" t="s">
        <v>187</v>
      </c>
      <c r="G300" s="31" t="s">
        <v>44</v>
      </c>
      <c r="H300" s="31" t="s">
        <v>309</v>
      </c>
      <c r="I300" s="42"/>
      <c r="J300" s="31" t="s">
        <v>147</v>
      </c>
      <c r="K300" s="35">
        <v>46043</v>
      </c>
      <c r="P300" s="32" t="s">
        <v>45</v>
      </c>
    </row>
    <row r="301" spans="1:19" ht="15" customHeight="1">
      <c r="A301" s="36">
        <v>300</v>
      </c>
      <c r="B301" s="31" t="s">
        <v>492</v>
      </c>
      <c r="C301" s="31" t="s">
        <v>209</v>
      </c>
      <c r="D301" s="31" t="s">
        <v>187</v>
      </c>
      <c r="G301" s="31" t="s">
        <v>44</v>
      </c>
      <c r="H301" s="31" t="s">
        <v>309</v>
      </c>
      <c r="I301" s="42"/>
      <c r="J301" s="31" t="s">
        <v>147</v>
      </c>
      <c r="K301" s="35">
        <v>46043</v>
      </c>
      <c r="P301" s="32" t="s">
        <v>45</v>
      </c>
    </row>
    <row r="302" spans="1:19" ht="15" customHeight="1">
      <c r="A302" s="36">
        <v>301</v>
      </c>
      <c r="B302" s="31" t="s">
        <v>493</v>
      </c>
      <c r="C302" s="42" t="s">
        <v>366</v>
      </c>
      <c r="D302" s="31" t="s">
        <v>271</v>
      </c>
      <c r="E302" s="31" t="s">
        <v>494</v>
      </c>
      <c r="F302" s="31" t="s">
        <v>495</v>
      </c>
      <c r="G302" s="31" t="s">
        <v>44</v>
      </c>
      <c r="H302" s="42" t="s">
        <v>309</v>
      </c>
      <c r="I302" s="42" t="s">
        <v>496</v>
      </c>
      <c r="J302" s="31" t="s">
        <v>346</v>
      </c>
      <c r="K302" s="35">
        <v>46220</v>
      </c>
      <c r="P302" s="32" t="s">
        <v>45</v>
      </c>
    </row>
    <row r="303" spans="1:19" ht="15" customHeight="1">
      <c r="A303" s="36">
        <v>302</v>
      </c>
      <c r="B303" s="31" t="s">
        <v>497</v>
      </c>
      <c r="C303" s="31" t="s">
        <v>366</v>
      </c>
      <c r="D303" s="31" t="s">
        <v>79</v>
      </c>
      <c r="E303" s="31" t="s">
        <v>498</v>
      </c>
      <c r="F303" s="31" t="s">
        <v>499</v>
      </c>
      <c r="G303" s="31" t="s">
        <v>44</v>
      </c>
      <c r="H303" s="42" t="s">
        <v>309</v>
      </c>
      <c r="I303" s="42"/>
      <c r="J303" s="31" t="s">
        <v>346</v>
      </c>
      <c r="K303" s="35">
        <v>46220</v>
      </c>
      <c r="P303" s="32" t="s">
        <v>45</v>
      </c>
    </row>
    <row r="304" spans="1:19" ht="15" customHeight="1">
      <c r="A304" s="36">
        <v>303</v>
      </c>
      <c r="B304" s="31" t="s">
        <v>500</v>
      </c>
      <c r="C304" s="31" t="s">
        <v>501</v>
      </c>
      <c r="D304" s="31" t="s">
        <v>102</v>
      </c>
      <c r="E304" s="33"/>
      <c r="F304" s="33"/>
      <c r="G304" s="31" t="s">
        <v>38</v>
      </c>
      <c r="H304" s="42" t="s">
        <v>309</v>
      </c>
      <c r="I304" s="44"/>
      <c r="J304" s="31" t="s">
        <v>143</v>
      </c>
      <c r="K304" s="35">
        <v>46220</v>
      </c>
      <c r="L304" s="33"/>
      <c r="M304" s="33"/>
      <c r="N304" s="45">
        <v>46226</v>
      </c>
      <c r="O304" s="33"/>
      <c r="P304" s="32" t="s">
        <v>40</v>
      </c>
      <c r="Q304" s="33"/>
      <c r="R304" s="33"/>
      <c r="S304" s="33"/>
    </row>
    <row r="305" spans="1:19" ht="15" customHeight="1">
      <c r="A305" s="36">
        <v>304</v>
      </c>
      <c r="B305" s="31" t="s">
        <v>502</v>
      </c>
      <c r="C305" s="31" t="s">
        <v>454</v>
      </c>
      <c r="D305" s="31" t="s">
        <v>284</v>
      </c>
      <c r="E305" s="31" t="s">
        <v>503</v>
      </c>
      <c r="F305" s="31" t="s">
        <v>504</v>
      </c>
      <c r="G305" s="31" t="s">
        <v>44</v>
      </c>
      <c r="H305" s="42" t="s">
        <v>309</v>
      </c>
      <c r="I305" s="42"/>
      <c r="J305" s="31" t="s">
        <v>122</v>
      </c>
      <c r="K305" s="35">
        <v>46223</v>
      </c>
      <c r="P305" s="32" t="s">
        <v>45</v>
      </c>
    </row>
    <row r="306" spans="1:19" ht="15" customHeight="1">
      <c r="A306" s="36">
        <v>305</v>
      </c>
      <c r="B306" s="31" t="s">
        <v>505</v>
      </c>
      <c r="C306" s="31" t="s">
        <v>506</v>
      </c>
      <c r="D306" s="31" t="s">
        <v>284</v>
      </c>
      <c r="E306" s="31" t="s">
        <v>507</v>
      </c>
      <c r="F306" s="31" t="s">
        <v>508</v>
      </c>
      <c r="G306" s="31" t="s">
        <v>44</v>
      </c>
      <c r="H306" s="42" t="s">
        <v>309</v>
      </c>
      <c r="I306" s="42"/>
      <c r="J306" s="31" t="s">
        <v>122</v>
      </c>
      <c r="K306" s="35">
        <v>46224</v>
      </c>
      <c r="P306" s="32" t="s">
        <v>45</v>
      </c>
    </row>
    <row r="307" spans="1:19" ht="15" customHeight="1">
      <c r="A307" s="36">
        <v>306</v>
      </c>
      <c r="B307" s="31" t="s">
        <v>270</v>
      </c>
      <c r="C307" s="31" t="s">
        <v>229</v>
      </c>
      <c r="D307" s="31" t="s">
        <v>271</v>
      </c>
      <c r="G307" s="31" t="s">
        <v>44</v>
      </c>
      <c r="H307" s="42" t="s">
        <v>150</v>
      </c>
      <c r="J307" s="31" t="s">
        <v>93</v>
      </c>
      <c r="K307" s="35">
        <v>46176</v>
      </c>
      <c r="P307" s="32" t="s">
        <v>45</v>
      </c>
    </row>
    <row r="308" spans="1:19" ht="15" customHeight="1">
      <c r="A308" s="36">
        <v>307</v>
      </c>
      <c r="B308" s="31" t="s">
        <v>509</v>
      </c>
      <c r="C308" s="31" t="s">
        <v>510</v>
      </c>
      <c r="D308" s="31" t="s">
        <v>291</v>
      </c>
      <c r="E308" s="31" t="s">
        <v>511</v>
      </c>
      <c r="F308" s="31" t="s">
        <v>512</v>
      </c>
      <c r="G308" s="31" t="s">
        <v>44</v>
      </c>
      <c r="H308" s="42" t="s">
        <v>150</v>
      </c>
      <c r="I308" s="42"/>
      <c r="J308" s="31" t="s">
        <v>93</v>
      </c>
      <c r="K308" s="35">
        <v>46224</v>
      </c>
      <c r="P308" s="32" t="s">
        <v>45</v>
      </c>
    </row>
    <row r="309" spans="1:19" ht="15" customHeight="1">
      <c r="A309" s="36">
        <v>308</v>
      </c>
      <c r="B309" s="31" t="s">
        <v>513</v>
      </c>
      <c r="C309" s="31" t="s">
        <v>491</v>
      </c>
      <c r="D309" s="31" t="s">
        <v>197</v>
      </c>
      <c r="E309" s="31" t="s">
        <v>514</v>
      </c>
      <c r="F309" s="31" t="s">
        <v>515</v>
      </c>
      <c r="G309" s="31" t="s">
        <v>44</v>
      </c>
      <c r="H309" s="42" t="s">
        <v>150</v>
      </c>
      <c r="I309" s="42"/>
      <c r="J309" s="31" t="s">
        <v>93</v>
      </c>
      <c r="K309" s="35">
        <v>46224</v>
      </c>
      <c r="P309" s="32" t="s">
        <v>45</v>
      </c>
    </row>
    <row r="310" spans="1:19" ht="15" customHeight="1">
      <c r="A310" s="36">
        <v>309</v>
      </c>
      <c r="B310" s="31" t="s">
        <v>513</v>
      </c>
      <c r="C310" s="31" t="s">
        <v>209</v>
      </c>
      <c r="D310" s="31" t="s">
        <v>197</v>
      </c>
      <c r="E310" s="31" t="s">
        <v>516</v>
      </c>
      <c r="F310" s="31" t="s">
        <v>517</v>
      </c>
      <c r="G310" s="31" t="s">
        <v>44</v>
      </c>
      <c r="H310" s="42" t="s">
        <v>150</v>
      </c>
      <c r="I310" s="42"/>
      <c r="J310" s="31" t="s">
        <v>93</v>
      </c>
      <c r="K310" s="35">
        <v>46224</v>
      </c>
      <c r="P310" s="32" t="s">
        <v>45</v>
      </c>
    </row>
    <row r="311" spans="1:19" ht="15" customHeight="1">
      <c r="A311" s="36">
        <v>310</v>
      </c>
      <c r="B311" s="31" t="s">
        <v>513</v>
      </c>
      <c r="C311" s="31" t="s">
        <v>251</v>
      </c>
      <c r="D311" s="31" t="s">
        <v>197</v>
      </c>
      <c r="E311" s="31" t="s">
        <v>518</v>
      </c>
      <c r="F311" s="31" t="s">
        <v>519</v>
      </c>
      <c r="G311" s="31" t="s">
        <v>44</v>
      </c>
      <c r="H311" s="42" t="s">
        <v>150</v>
      </c>
      <c r="I311" s="42"/>
      <c r="J311" s="31" t="s">
        <v>93</v>
      </c>
      <c r="K311" s="35">
        <v>46224</v>
      </c>
      <c r="P311" s="32" t="s">
        <v>45</v>
      </c>
    </row>
    <row r="312" spans="1:19" ht="15" customHeight="1">
      <c r="A312" s="36">
        <v>311</v>
      </c>
      <c r="B312" s="31" t="s">
        <v>513</v>
      </c>
      <c r="C312" s="31" t="s">
        <v>244</v>
      </c>
      <c r="D312" s="31" t="s">
        <v>197</v>
      </c>
      <c r="E312" s="31" t="s">
        <v>520</v>
      </c>
      <c r="F312" s="31" t="s">
        <v>521</v>
      </c>
      <c r="G312" s="31" t="s">
        <v>44</v>
      </c>
      <c r="H312" s="42" t="s">
        <v>150</v>
      </c>
      <c r="I312" s="42"/>
      <c r="J312" s="31" t="s">
        <v>93</v>
      </c>
      <c r="K312" s="35">
        <v>46224</v>
      </c>
      <c r="P312" s="32" t="s">
        <v>45</v>
      </c>
    </row>
    <row r="313" spans="1:19" ht="15" customHeight="1">
      <c r="A313" s="36">
        <v>312</v>
      </c>
      <c r="B313" s="31" t="s">
        <v>339</v>
      </c>
      <c r="C313" s="31" t="s">
        <v>309</v>
      </c>
      <c r="D313" s="31" t="s">
        <v>271</v>
      </c>
      <c r="E313" s="31" t="s">
        <v>522</v>
      </c>
      <c r="F313" s="31" t="s">
        <v>523</v>
      </c>
      <c r="G313" s="31" t="s">
        <v>44</v>
      </c>
      <c r="H313" s="42" t="s">
        <v>150</v>
      </c>
      <c r="I313" s="42"/>
      <c r="J313" s="31" t="s">
        <v>122</v>
      </c>
      <c r="K313" s="35">
        <v>46225</v>
      </c>
      <c r="P313" s="32" t="s">
        <v>45</v>
      </c>
    </row>
    <row r="314" spans="1:19" ht="15" customHeight="1">
      <c r="A314" s="36">
        <v>313</v>
      </c>
      <c r="B314" s="31" t="s">
        <v>524</v>
      </c>
      <c r="C314" s="31" t="s">
        <v>366</v>
      </c>
      <c r="D314" s="31" t="s">
        <v>79</v>
      </c>
      <c r="E314" s="31" t="s">
        <v>525</v>
      </c>
      <c r="F314" s="31" t="s">
        <v>526</v>
      </c>
      <c r="G314" s="31" t="s">
        <v>44</v>
      </c>
      <c r="H314" s="31" t="s">
        <v>309</v>
      </c>
      <c r="I314" s="42"/>
      <c r="J314" s="31" t="s">
        <v>354</v>
      </c>
      <c r="K314" s="35">
        <v>46230</v>
      </c>
      <c r="L314" s="35">
        <v>46238</v>
      </c>
      <c r="P314" s="32" t="s">
        <v>45</v>
      </c>
    </row>
    <row r="315" spans="1:19" ht="15" customHeight="1">
      <c r="A315" s="36">
        <v>314</v>
      </c>
      <c r="B315" s="31" t="s">
        <v>527</v>
      </c>
      <c r="C315" s="31" t="s">
        <v>309</v>
      </c>
      <c r="D315" s="31" t="s">
        <v>291</v>
      </c>
      <c r="F315" s="31" t="s">
        <v>528</v>
      </c>
      <c r="G315" s="31" t="s">
        <v>44</v>
      </c>
      <c r="H315" s="31" t="s">
        <v>309</v>
      </c>
      <c r="I315" s="42"/>
      <c r="J315" s="31" t="s">
        <v>354</v>
      </c>
      <c r="K315" s="35">
        <v>46196</v>
      </c>
      <c r="P315" s="32" t="s">
        <v>45</v>
      </c>
    </row>
    <row r="316" spans="1:19" ht="15" customHeight="1">
      <c r="A316" s="36">
        <v>315</v>
      </c>
      <c r="B316" s="33" t="s">
        <v>529</v>
      </c>
      <c r="C316" s="33" t="s">
        <v>308</v>
      </c>
      <c r="D316" s="33" t="s">
        <v>277</v>
      </c>
      <c r="E316" s="33" t="s">
        <v>530</v>
      </c>
      <c r="F316" s="33" t="s">
        <v>531</v>
      </c>
      <c r="G316" s="31" t="s">
        <v>44</v>
      </c>
      <c r="H316" s="42" t="s">
        <v>309</v>
      </c>
      <c r="I316" s="33"/>
      <c r="J316" s="33" t="s">
        <v>289</v>
      </c>
      <c r="K316" s="45">
        <v>46231</v>
      </c>
      <c r="L316" s="33"/>
      <c r="M316" s="33"/>
      <c r="N316" s="33"/>
      <c r="O316" s="33"/>
      <c r="P316" s="32" t="s">
        <v>45</v>
      </c>
      <c r="Q316" s="33"/>
      <c r="R316" s="33"/>
      <c r="S316" s="33"/>
    </row>
    <row r="317" spans="1:19" ht="15" customHeight="1">
      <c r="A317" s="36">
        <v>316</v>
      </c>
      <c r="B317" s="31" t="s">
        <v>532</v>
      </c>
      <c r="C317" s="31" t="s">
        <v>533</v>
      </c>
      <c r="D317" s="31" t="s">
        <v>86</v>
      </c>
      <c r="G317" s="31" t="s">
        <v>44</v>
      </c>
      <c r="H317" s="31" t="s">
        <v>39</v>
      </c>
      <c r="I317" s="42"/>
      <c r="J317" s="31" t="s">
        <v>534</v>
      </c>
      <c r="K317" s="35"/>
      <c r="L317" s="33"/>
      <c r="N317" s="33"/>
      <c r="P317" s="32" t="s">
        <v>45</v>
      </c>
    </row>
    <row r="318" spans="1:19" ht="15" customHeight="1">
      <c r="A318" s="36">
        <v>317</v>
      </c>
      <c r="B318" s="31" t="s">
        <v>535</v>
      </c>
      <c r="C318" s="31" t="s">
        <v>533</v>
      </c>
      <c r="D318" s="31" t="s">
        <v>136</v>
      </c>
      <c r="G318" s="31" t="s">
        <v>44</v>
      </c>
      <c r="H318" s="31" t="s">
        <v>39</v>
      </c>
      <c r="I318" s="51" t="s">
        <v>536</v>
      </c>
      <c r="J318" s="35"/>
      <c r="L318" s="33"/>
      <c r="N318" s="33"/>
      <c r="P318" s="32" t="s">
        <v>45</v>
      </c>
    </row>
    <row r="319" spans="1:19" ht="15" customHeight="1">
      <c r="A319" s="36">
        <v>318</v>
      </c>
      <c r="B319" s="31" t="s">
        <v>537</v>
      </c>
      <c r="C319" s="31" t="s">
        <v>533</v>
      </c>
      <c r="D319" s="31" t="s">
        <v>538</v>
      </c>
      <c r="G319" s="31" t="s">
        <v>44</v>
      </c>
      <c r="H319" s="31" t="s">
        <v>39</v>
      </c>
      <c r="I319" s="51" t="s">
        <v>536</v>
      </c>
      <c r="J319" s="35"/>
      <c r="L319" s="33"/>
      <c r="N319" s="33"/>
      <c r="P319" s="32" t="s">
        <v>45</v>
      </c>
    </row>
    <row r="320" spans="1:19" ht="15" customHeight="1">
      <c r="A320" s="36">
        <v>319</v>
      </c>
      <c r="B320" s="31" t="s">
        <v>539</v>
      </c>
      <c r="C320" s="31" t="s">
        <v>533</v>
      </c>
      <c r="D320" s="31" t="s">
        <v>211</v>
      </c>
      <c r="G320" s="31" t="s">
        <v>44</v>
      </c>
      <c r="H320" s="31" t="s">
        <v>39</v>
      </c>
      <c r="I320" s="51" t="s">
        <v>536</v>
      </c>
      <c r="J320" s="35"/>
      <c r="L320" s="33"/>
      <c r="N320" s="33"/>
      <c r="P320" s="32" t="s">
        <v>45</v>
      </c>
    </row>
    <row r="321" spans="1:19" ht="15" customHeight="1">
      <c r="A321" s="36">
        <v>320</v>
      </c>
      <c r="B321" s="33" t="s">
        <v>540</v>
      </c>
      <c r="C321" s="33" t="s">
        <v>533</v>
      </c>
      <c r="D321" s="33" t="s">
        <v>541</v>
      </c>
      <c r="E321" s="33"/>
      <c r="G321" s="31" t="s">
        <v>44</v>
      </c>
      <c r="H321" s="31" t="s">
        <v>39</v>
      </c>
      <c r="I321" s="51" t="s">
        <v>536</v>
      </c>
      <c r="J321" s="45"/>
      <c r="K321" s="33"/>
      <c r="L321" s="33"/>
      <c r="M321" s="33"/>
      <c r="N321" s="33"/>
      <c r="P321" s="32" t="s">
        <v>45</v>
      </c>
    </row>
    <row r="322" spans="1:19" ht="15" customHeight="1">
      <c r="A322" s="36">
        <v>321</v>
      </c>
      <c r="B322" s="31" t="s">
        <v>542</v>
      </c>
      <c r="C322" s="33" t="s">
        <v>533</v>
      </c>
      <c r="D322" s="31" t="s">
        <v>543</v>
      </c>
      <c r="G322" s="31" t="s">
        <v>44</v>
      </c>
      <c r="H322" s="31" t="s">
        <v>39</v>
      </c>
      <c r="I322" s="51" t="s">
        <v>536</v>
      </c>
      <c r="L322" s="33"/>
      <c r="N322" s="33"/>
      <c r="P322" s="32" t="s">
        <v>45</v>
      </c>
    </row>
    <row r="323" spans="1:19" ht="15" customHeight="1">
      <c r="A323" s="36">
        <v>322</v>
      </c>
      <c r="B323" s="31" t="s">
        <v>544</v>
      </c>
      <c r="C323" s="31" t="s">
        <v>545</v>
      </c>
      <c r="D323" s="31" t="s">
        <v>284</v>
      </c>
      <c r="G323" s="31" t="s">
        <v>44</v>
      </c>
      <c r="H323" s="31" t="s">
        <v>150</v>
      </c>
      <c r="I323" s="42"/>
      <c r="J323" s="31" t="s">
        <v>143</v>
      </c>
      <c r="K323" s="35"/>
      <c r="L323" s="33"/>
      <c r="N323" s="33"/>
      <c r="P323" s="32" t="s">
        <v>45</v>
      </c>
    </row>
    <row r="324" spans="1:19" ht="15" customHeight="1">
      <c r="A324" s="36">
        <v>323</v>
      </c>
      <c r="B324" s="31" t="s">
        <v>546</v>
      </c>
      <c r="C324" s="31" t="s">
        <v>138</v>
      </c>
      <c r="D324" s="31" t="s">
        <v>194</v>
      </c>
      <c r="E324" s="31" t="s">
        <v>547</v>
      </c>
      <c r="F324" s="31" t="s">
        <v>548</v>
      </c>
      <c r="G324" s="31" t="s">
        <v>44</v>
      </c>
      <c r="H324" s="31" t="s">
        <v>39</v>
      </c>
      <c r="I324" s="42" t="s">
        <v>549</v>
      </c>
      <c r="J324" s="31" t="s">
        <v>306</v>
      </c>
      <c r="K324" s="35">
        <v>46232</v>
      </c>
      <c r="L324" s="33"/>
      <c r="P324" s="32" t="s">
        <v>45</v>
      </c>
    </row>
    <row r="325" spans="1:19" ht="15" customHeight="1">
      <c r="A325" s="36">
        <v>324</v>
      </c>
      <c r="B325" s="31" t="s">
        <v>550</v>
      </c>
      <c r="C325" s="31" t="s">
        <v>551</v>
      </c>
      <c r="D325" s="31" t="s">
        <v>341</v>
      </c>
      <c r="E325" s="31" t="s">
        <v>552</v>
      </c>
      <c r="F325" s="31" t="s">
        <v>553</v>
      </c>
      <c r="G325" s="31" t="s">
        <v>44</v>
      </c>
      <c r="H325" s="31" t="s">
        <v>309</v>
      </c>
      <c r="I325" s="42"/>
      <c r="J325" s="31" t="s">
        <v>122</v>
      </c>
      <c r="K325" s="35">
        <v>46237</v>
      </c>
      <c r="L325" s="33"/>
      <c r="P325" s="32" t="s">
        <v>45</v>
      </c>
    </row>
    <row r="326" spans="1:19" ht="15" customHeight="1">
      <c r="A326" s="36">
        <v>325</v>
      </c>
      <c r="B326" s="33" t="s">
        <v>554</v>
      </c>
      <c r="C326" s="31" t="s">
        <v>366</v>
      </c>
      <c r="D326" s="33" t="s">
        <v>79</v>
      </c>
      <c r="E326" s="33" t="s">
        <v>555</v>
      </c>
      <c r="F326" s="33" t="s">
        <v>556</v>
      </c>
      <c r="G326" s="31" t="s">
        <v>44</v>
      </c>
      <c r="H326" s="33" t="s">
        <v>309</v>
      </c>
      <c r="I326" s="44"/>
      <c r="J326" s="33" t="s">
        <v>354</v>
      </c>
      <c r="K326" s="35">
        <v>46237</v>
      </c>
      <c r="L326" s="33"/>
      <c r="M326" s="33"/>
      <c r="N326" s="33"/>
      <c r="O326" s="33"/>
      <c r="P326" s="34" t="s">
        <v>45</v>
      </c>
      <c r="Q326" s="33"/>
      <c r="R326" s="33"/>
      <c r="S326" s="33"/>
    </row>
    <row r="327" spans="1:19" ht="15" customHeight="1">
      <c r="A327" s="36">
        <v>326</v>
      </c>
      <c r="B327" s="31" t="s">
        <v>554</v>
      </c>
      <c r="C327" s="31" t="s">
        <v>557</v>
      </c>
      <c r="D327" s="31" t="s">
        <v>79</v>
      </c>
      <c r="G327" s="31" t="s">
        <v>38</v>
      </c>
      <c r="I327" s="31" t="s">
        <v>558</v>
      </c>
      <c r="J327" s="33" t="s">
        <v>354</v>
      </c>
      <c r="K327" s="35">
        <v>46237</v>
      </c>
      <c r="P327" s="34" t="s">
        <v>45</v>
      </c>
    </row>
    <row r="328" spans="1:19" ht="15" customHeight="1">
      <c r="A328" s="36">
        <v>327</v>
      </c>
      <c r="B328" s="31" t="s">
        <v>559</v>
      </c>
      <c r="C328" s="31" t="s">
        <v>68</v>
      </c>
      <c r="D328" s="31" t="s">
        <v>560</v>
      </c>
      <c r="G328" s="31" t="s">
        <v>44</v>
      </c>
      <c r="H328" s="31" t="s">
        <v>39</v>
      </c>
      <c r="J328" s="31" t="s">
        <v>306</v>
      </c>
      <c r="K328" s="35">
        <v>46237</v>
      </c>
      <c r="P328" s="34" t="s">
        <v>45</v>
      </c>
    </row>
    <row r="329" spans="1:19" ht="15" customHeight="1">
      <c r="A329" s="36">
        <v>328</v>
      </c>
      <c r="B329" s="33" t="s">
        <v>559</v>
      </c>
      <c r="C329" s="33" t="s">
        <v>561</v>
      </c>
      <c r="D329" s="31" t="s">
        <v>560</v>
      </c>
      <c r="E329" s="33"/>
      <c r="F329" s="33"/>
      <c r="G329" s="31" t="s">
        <v>44</v>
      </c>
      <c r="H329" s="33" t="s">
        <v>39</v>
      </c>
      <c r="I329" s="33"/>
      <c r="J329" s="33" t="s">
        <v>306</v>
      </c>
      <c r="K329" s="35">
        <v>46237</v>
      </c>
      <c r="L329" s="33"/>
      <c r="M329" s="33"/>
      <c r="N329" s="33"/>
      <c r="O329" s="33"/>
      <c r="P329" s="34" t="s">
        <v>45</v>
      </c>
      <c r="Q329" s="33"/>
      <c r="R329" s="33"/>
      <c r="S329" s="33"/>
    </row>
    <row r="330" spans="1:19" ht="15" customHeight="1">
      <c r="A330" s="36">
        <v>329</v>
      </c>
      <c r="B330" s="33" t="s">
        <v>559</v>
      </c>
      <c r="C330" s="33" t="s">
        <v>562</v>
      </c>
      <c r="D330" s="31" t="s">
        <v>560</v>
      </c>
      <c r="E330" s="33"/>
      <c r="F330" s="33"/>
      <c r="G330" s="31" t="s">
        <v>44</v>
      </c>
      <c r="H330" s="33" t="s">
        <v>39</v>
      </c>
      <c r="I330" s="33"/>
      <c r="J330" s="33" t="s">
        <v>306</v>
      </c>
      <c r="K330" s="35">
        <v>46238</v>
      </c>
      <c r="P330" s="34" t="s">
        <v>45</v>
      </c>
    </row>
    <row r="331" spans="1:19" ht="15" customHeight="1">
      <c r="A331" s="36">
        <v>330</v>
      </c>
      <c r="B331" s="33" t="s">
        <v>563</v>
      </c>
      <c r="C331" s="33" t="s">
        <v>564</v>
      </c>
      <c r="D331" s="31" t="s">
        <v>158</v>
      </c>
      <c r="E331" s="31" t="s">
        <v>565</v>
      </c>
      <c r="F331" s="31" t="s">
        <v>566</v>
      </c>
      <c r="G331" s="31" t="s">
        <v>44</v>
      </c>
      <c r="H331" s="31" t="s">
        <v>150</v>
      </c>
      <c r="J331" s="33" t="s">
        <v>93</v>
      </c>
      <c r="K331" s="35">
        <v>46177</v>
      </c>
      <c r="P331" s="34" t="s">
        <v>45</v>
      </c>
    </row>
    <row r="332" spans="1:19" ht="15" customHeight="1">
      <c r="A332" s="36">
        <v>331</v>
      </c>
      <c r="B332" s="33" t="s">
        <v>567</v>
      </c>
      <c r="C332" s="33" t="s">
        <v>568</v>
      </c>
      <c r="D332" s="33" t="s">
        <v>59</v>
      </c>
      <c r="E332" s="33"/>
      <c r="F332" s="33" t="s">
        <v>569</v>
      </c>
      <c r="G332" s="31" t="s">
        <v>44</v>
      </c>
      <c r="H332" s="33" t="s">
        <v>39</v>
      </c>
      <c r="I332" s="33" t="s">
        <v>570</v>
      </c>
      <c r="J332" s="33" t="s">
        <v>267</v>
      </c>
      <c r="K332" s="45">
        <v>46238</v>
      </c>
      <c r="L332" s="45">
        <v>46239</v>
      </c>
      <c r="M332" s="33" t="s">
        <v>565</v>
      </c>
      <c r="N332" s="45"/>
      <c r="O332" s="33" t="s">
        <v>427</v>
      </c>
      <c r="P332" s="34" t="s">
        <v>45</v>
      </c>
      <c r="Q332" s="33"/>
      <c r="R332" s="33"/>
      <c r="S332" s="33"/>
    </row>
    <row r="333" spans="1:19" ht="15" customHeight="1">
      <c r="A333" s="36">
        <v>332</v>
      </c>
      <c r="B333" s="33" t="s">
        <v>567</v>
      </c>
      <c r="C333" s="33" t="s">
        <v>568</v>
      </c>
      <c r="D333" s="33" t="s">
        <v>59</v>
      </c>
      <c r="E333" s="33"/>
      <c r="F333" s="31" t="s">
        <v>571</v>
      </c>
      <c r="G333" s="31" t="s">
        <v>44</v>
      </c>
      <c r="H333" s="33" t="s">
        <v>39</v>
      </c>
      <c r="I333" s="33" t="s">
        <v>572</v>
      </c>
      <c r="J333" s="33"/>
      <c r="K333" s="45"/>
      <c r="L333" s="35"/>
      <c r="N333" s="35"/>
      <c r="P333" s="34"/>
    </row>
    <row r="334" spans="1:19" ht="15" customHeight="1">
      <c r="A334" s="36">
        <v>333</v>
      </c>
      <c r="B334" s="33" t="s">
        <v>573</v>
      </c>
      <c r="C334" s="33" t="s">
        <v>209</v>
      </c>
      <c r="D334" s="33" t="s">
        <v>37</v>
      </c>
      <c r="E334" s="33" t="s">
        <v>574</v>
      </c>
      <c r="F334" s="33" t="s">
        <v>575</v>
      </c>
      <c r="G334" s="31" t="s">
        <v>44</v>
      </c>
      <c r="H334" s="33" t="s">
        <v>39</v>
      </c>
      <c r="I334" s="33"/>
      <c r="J334" s="33" t="s">
        <v>534</v>
      </c>
      <c r="K334" s="45">
        <v>46239</v>
      </c>
      <c r="L334" s="33"/>
      <c r="M334" s="33"/>
      <c r="N334" s="33"/>
      <c r="O334" s="33"/>
      <c r="P334" s="34" t="s">
        <v>45</v>
      </c>
      <c r="Q334" s="33"/>
      <c r="R334" s="33"/>
      <c r="S334" s="33"/>
    </row>
    <row r="335" spans="1:19" ht="15" customHeight="1">
      <c r="A335" s="36">
        <v>334</v>
      </c>
      <c r="B335" s="33" t="s">
        <v>576</v>
      </c>
      <c r="C335" s="33" t="s">
        <v>309</v>
      </c>
      <c r="D335" s="33" t="s">
        <v>79</v>
      </c>
      <c r="E335" s="33" t="s">
        <v>577</v>
      </c>
      <c r="F335" s="33" t="s">
        <v>578</v>
      </c>
      <c r="G335" s="31" t="s">
        <v>107</v>
      </c>
      <c r="H335" s="33" t="s">
        <v>309</v>
      </c>
      <c r="I335" s="52" t="s">
        <v>579</v>
      </c>
      <c r="J335" s="33" t="s">
        <v>143</v>
      </c>
      <c r="K335" s="45">
        <v>46239</v>
      </c>
      <c r="L335" s="33"/>
      <c r="M335" s="33"/>
      <c r="N335" s="33"/>
      <c r="O335" s="33"/>
      <c r="P335" s="34" t="s">
        <v>45</v>
      </c>
      <c r="Q335" s="33"/>
      <c r="R335" s="33"/>
      <c r="S335" s="33"/>
    </row>
    <row r="336" spans="1:19" ht="15" customHeight="1">
      <c r="A336" s="36">
        <v>335</v>
      </c>
      <c r="B336" s="33" t="s">
        <v>580</v>
      </c>
      <c r="C336" s="33" t="s">
        <v>545</v>
      </c>
      <c r="D336" s="33" t="s">
        <v>284</v>
      </c>
      <c r="E336" s="33" t="s">
        <v>581</v>
      </c>
      <c r="F336" s="31" t="s">
        <v>582</v>
      </c>
      <c r="G336" s="31" t="s">
        <v>38</v>
      </c>
      <c r="H336" s="31" t="s">
        <v>150</v>
      </c>
      <c r="J336" s="33" t="s">
        <v>289</v>
      </c>
      <c r="K336" s="45">
        <v>46237</v>
      </c>
      <c r="N336" s="35">
        <v>46240</v>
      </c>
      <c r="P336" s="34" t="s">
        <v>45</v>
      </c>
    </row>
    <row r="337" spans="1:19" ht="15" customHeight="1">
      <c r="A337" s="36">
        <v>336</v>
      </c>
      <c r="B337" s="33" t="s">
        <v>583</v>
      </c>
      <c r="C337" s="33" t="s">
        <v>216</v>
      </c>
      <c r="D337" s="33" t="s">
        <v>284</v>
      </c>
      <c r="E337" s="33" t="s">
        <v>584</v>
      </c>
      <c r="F337" s="31" t="s">
        <v>585</v>
      </c>
      <c r="G337" s="31" t="s">
        <v>44</v>
      </c>
      <c r="H337" s="31" t="s">
        <v>150</v>
      </c>
      <c r="J337" s="33" t="s">
        <v>93</v>
      </c>
      <c r="K337" s="45">
        <v>46240</v>
      </c>
      <c r="P337" s="34" t="s">
        <v>45</v>
      </c>
    </row>
    <row r="338" spans="1:19" ht="15" customHeight="1">
      <c r="A338" s="36">
        <v>337</v>
      </c>
      <c r="B338" s="31" t="s">
        <v>583</v>
      </c>
      <c r="C338" s="31" t="s">
        <v>334</v>
      </c>
      <c r="D338" s="33" t="s">
        <v>284</v>
      </c>
      <c r="E338" s="31" t="s">
        <v>586</v>
      </c>
      <c r="F338" s="31" t="s">
        <v>587</v>
      </c>
      <c r="G338" s="31" t="s">
        <v>44</v>
      </c>
      <c r="H338" s="31" t="s">
        <v>150</v>
      </c>
      <c r="J338" s="31" t="s">
        <v>93</v>
      </c>
      <c r="K338" s="35">
        <v>46240</v>
      </c>
      <c r="P338" s="34" t="s">
        <v>45</v>
      </c>
    </row>
    <row r="339" spans="1:19" ht="15" customHeight="1">
      <c r="A339" s="36">
        <v>338</v>
      </c>
      <c r="B339" s="33" t="s">
        <v>588</v>
      </c>
      <c r="C339" s="33" t="s">
        <v>551</v>
      </c>
      <c r="D339" s="33" t="s">
        <v>341</v>
      </c>
      <c r="E339" s="33" t="s">
        <v>565</v>
      </c>
      <c r="F339" s="33"/>
      <c r="G339" s="31" t="s">
        <v>44</v>
      </c>
      <c r="H339" s="33" t="s">
        <v>309</v>
      </c>
      <c r="I339" s="33"/>
      <c r="J339" s="33" t="s">
        <v>122</v>
      </c>
      <c r="K339" s="45">
        <v>46240</v>
      </c>
      <c r="L339" s="33"/>
      <c r="M339" s="33"/>
      <c r="N339" s="33"/>
      <c r="O339" s="33"/>
      <c r="P339" s="34" t="s">
        <v>45</v>
      </c>
      <c r="Q339" s="33"/>
      <c r="R339" s="33"/>
      <c r="S339" s="33"/>
    </row>
    <row r="340" spans="1:19" ht="15" customHeight="1">
      <c r="A340" s="36">
        <v>339</v>
      </c>
      <c r="B340" s="54" t="s">
        <v>589</v>
      </c>
      <c r="C340" s="55" t="s">
        <v>366</v>
      </c>
      <c r="D340" s="33" t="s">
        <v>59</v>
      </c>
      <c r="E340" s="33" t="s">
        <v>565</v>
      </c>
      <c r="G340" s="31" t="s">
        <v>44</v>
      </c>
      <c r="H340" s="33" t="s">
        <v>309</v>
      </c>
      <c r="I340" s="31" t="s">
        <v>590</v>
      </c>
      <c r="J340" s="33" t="s">
        <v>354</v>
      </c>
      <c r="K340" s="45">
        <v>46240</v>
      </c>
      <c r="P340" s="34" t="s">
        <v>45</v>
      </c>
    </row>
    <row r="341" spans="1:19" ht="15" customHeight="1">
      <c r="A341" s="53"/>
      <c r="B341" s="48"/>
      <c r="C341" s="55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4"/>
      <c r="Q341" s="33"/>
      <c r="R341" s="33"/>
      <c r="S341" s="33"/>
    </row>
    <row r="342" spans="1:19" ht="15" customHeight="1">
      <c r="A342" s="56"/>
      <c r="B342" s="50"/>
    </row>
    <row r="1048569"/>
    <row r="1048570"/>
    <row r="1048572"/>
    <row r="1048573"/>
  </sheetData>
  <conditionalFormatting sqref="G2:G1048576">
    <cfRule type="cellIs" dxfId="18" priority="9" operator="equal">
      <formula>"Completed"</formula>
    </cfRule>
    <cfRule type="cellIs" dxfId="17" priority="10" operator="equal">
      <formula>"In Progress"</formula>
    </cfRule>
    <cfRule type="cellIs" dxfId="16" priority="11" operator="equal">
      <formula>"Hold"</formula>
    </cfRule>
    <cfRule type="cellIs" dxfId="15" priority="12" operator="equal">
      <formula>"Not Started"</formula>
    </cfRule>
  </conditionalFormatting>
  <conditionalFormatting sqref="P2:P1048576">
    <cfRule type="cellIs" dxfId="14" priority="13" operator="equal">
      <formula>"Yes"</formula>
    </cfRule>
    <cfRule type="cellIs" dxfId="13" priority="14" operator="equal">
      <formula>"No"</formula>
    </cfRule>
    <cfRule type="cellIs" dxfId="12" priority="15" operator="equal">
      <formula>"Pending"</formula>
    </cfRule>
  </conditionalFormatting>
  <dataValidations count="2">
    <dataValidation type="list" allowBlank="1" errorTitle="Invalid entry" error="Please choose a value from the list." promptTitle="Payment Confirmation" prompt="Select payment confirmation" sqref="P2:P1053" xr:uid="{00000000-0002-0000-0100-000001000000}">
      <formula1>"Yes,No,Pending"</formula1>
      <formula2>0</formula2>
    </dataValidation>
    <dataValidation type="list" allowBlank="1" errorTitle="Invalid entry" error="Please choose a value from the list." promptTitle="Project Status" prompt="Select project status" sqref="G2:G1053" xr:uid="{00000000-0002-0000-0100-000000000000}">
      <formula1>"Not Started,In Progress,Hold,Completed"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PMO COMPLIANCE</cp:lastModifiedBy>
  <cp:revision>0</cp:revision>
  <dcterms:created xsi:type="dcterms:W3CDTF">2026-07-20T07:10:17Z</dcterms:created>
  <dcterms:modified xsi:type="dcterms:W3CDTF">2026-08-10T10:54:47Z</dcterms:modified>
  <cp:category/>
  <cp:contentStatus/>
</cp:coreProperties>
</file>